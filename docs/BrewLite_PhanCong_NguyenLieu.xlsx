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b val="1"/>
      <sz val="10"/>
    </font>
    <font>
      <name val="Arial"/>
      <sz val="10"/>
    </font>
    <font>
      <name val="Arial"/>
      <b val="1"/>
      <color rgb="FFC00000"/>
      <sz val="10"/>
    </font>
    <font>
      <name val="Arial"/>
      <b val="1"/>
      <color rgb="001F3864"/>
      <sz val="14"/>
    </font>
    <font>
      <name val="Arial"/>
      <color rgb="00333333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  <bgColor rgb="001F3864"/>
      </patternFill>
    </fill>
    <fill>
      <patternFill patternType="solid">
        <fgColor rgb="00DDEBF7"/>
        <bgColor rgb="00DDEBF7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5" fillId="0" borderId="1" applyAlignment="1" pivotButton="0" quotePrefix="0" xfId="0">
      <alignment vertical="top" wrapText="1"/>
    </xf>
    <xf numFmtId="0" fontId="3" fillId="4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0" fillId="5" borderId="0" pivotButton="0" quotePrefix="0" xfId="0"/>
    <xf numFmtId="0" fontId="8" fillId="0" borderId="0" pivotButton="0" quotePrefix="0" xfId="0"/>
    <xf numFmtId="0" fontId="6" fillId="6" borderId="1" pivotButton="0" quotePrefix="0" xfId="0"/>
    <xf numFmtId="0" fontId="6" fillId="6" borderId="0" pivotButton="0" quotePrefix="0" xfId="0"/>
    <xf numFmtId="0" fontId="7" fillId="0" borderId="1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top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/>
    </xf>
    <xf numFmtId="0" fontId="14" fillId="9" borderId="2" applyAlignment="1" pivotButton="0" quotePrefix="0" xfId="0">
      <alignment horizontal="center" vertical="top" wrapText="1"/>
    </xf>
    <xf numFmtId="0" fontId="11" fillId="9" borderId="2" applyAlignment="1" pivotButton="0" quotePrefix="0" xfId="0">
      <alignment horizontal="center" vertical="top" wrapText="1"/>
    </xf>
    <xf numFmtId="0" fontId="14" fillId="9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top" wrapText="1"/>
    </xf>
    <xf numFmtId="0" fontId="11" fillId="10" borderId="2" applyAlignment="1" pivotButton="0" quotePrefix="0" xfId="0">
      <alignment horizontal="center" vertical="top" wrapText="1"/>
    </xf>
  </cellXfs>
  <cellStyles count="1">
    <cellStyle name="Normal" xfId="0" builtinId="0"/>
  </cellStyles>
  <dxfs count="2"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topLeftCell="D1" zoomScaleNormal="100" workbookViewId="0">
      <pane ySplit="6" topLeftCell="A7" activePane="bottomLeft" state="frozen"/>
      <selection pane="bottomLeft" activeCell="I30" sqref="I6: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4" customHeight="1">
      <c r="A1" s="1" t="inlineStr">
        <is>
          <t>BREWLITE — PHÂN CÔNG (3 GIAI ĐOẠN)</t>
        </is>
      </c>
    </row>
    <row r="2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>
      <c r="A3" s="3" t="inlineStr">
        <is>
          <t>Tiến độ (số task Xong):</t>
        </is>
      </c>
      <c r="C3" s="12">
        <f>COUNTIF(G7:G39,"Xong")&amp;" / "&amp;COUNTA(B7:B39)</f>
        <v/>
      </c>
    </row>
    <row r="6" ht="24" customHeight="1">
      <c r="A6" s="4" t="inlineStr">
        <is>
          <t>Giai đoạn</t>
        </is>
      </c>
      <c r="B6" s="4" t="inlineStr">
        <is>
          <t>ID</t>
        </is>
      </c>
      <c r="C6" s="4" t="inlineStr">
        <is>
          <t>Người</t>
        </is>
      </c>
      <c r="D6" s="4" t="inlineStr">
        <is>
          <t>Việc cần làm</t>
        </is>
      </c>
      <c r="E6" s="4" t="inlineStr">
        <is>
          <t>File / thư mục</t>
        </is>
      </c>
      <c r="F6" s="4" t="inlineStr">
        <is>
          <t>Xong khi</t>
        </is>
      </c>
      <c r="G6" s="4" t="inlineStr">
        <is>
          <t>Status</t>
        </is>
      </c>
      <c r="H6" s="4" t="inlineStr">
        <is>
          <t>Leader Duyệt</t>
        </is>
      </c>
      <c r="I6" s="4" t="inlineStr">
        <is>
          <t>Ngày Hoàn thành Task</t>
        </is>
      </c>
    </row>
    <row r="7">
      <c r="A7" s="5" t="inlineStr">
        <is>
          <t>GIAI ĐOẠN 1 — BACKEND (song song; cuối GĐ1 mỗi người có request curl chạy được cho endpoint của mình)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 ht="15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 ht="24" customHeight="1">
      <c r="A9" s="6" t="inlineStr">
        <is>
          <t>GĐ1</t>
        </is>
      </c>
      <c r="B9" s="6" t="inlineStr">
        <is>
          <t>GD1-01</t>
        </is>
      </c>
      <c r="C9" s="6" t="inlineStr">
        <is>
          <t>Chiến</t>
        </is>
      </c>
      <c r="D9" s="6" t="inlineStr">
        <is>
          <t>Auth: POST /auth/register, /auth/login (bcrypt, JWT), JwtAuthGuard, req.user = { sub, email }.</t>
        </is>
      </c>
      <c r="E9" s="6" t="inlineStr">
        <is>
          <t>backend/src/modules/auth/**</t>
        </is>
      </c>
      <c r="F9" s="6" t="inlineStr">
        <is>
          <t>Sai mật khẩu → 401; email trùng → 409; thiếu/hết hạn token → 401; không lưu plaintext password.</t>
        </is>
      </c>
      <c r="G9" s="6" t="inlineStr">
        <is>
          <t>Xong</t>
        </is>
      </c>
      <c r="H9" s="11" t="inlineStr">
        <is>
          <t>OK</t>
        </is>
      </c>
      <c r="I9" s="18" t="inlineStr">
        <is>
          <t>19/10/2026 11:29 (e316bfe)</t>
        </is>
      </c>
    </row>
    <row r="10" ht="48" customHeight="1">
      <c r="A10" s="6" t="inlineStr">
        <is>
          <t>GĐ1</t>
        </is>
      </c>
      <c r="B10" s="6" t="inlineStr">
        <is>
          <t>GD1-02</t>
        </is>
      </c>
      <c r="C10" s="6" t="inlineStr">
        <is>
          <t>Chiến</t>
        </is>
      </c>
      <c r="D10" s="6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6" t="inlineStr">
        <is>
          <t>backend/prisma/schema.prisma, migrations, common/**, app.module.ts, main.ts</t>
        </is>
      </c>
      <c r="F10" s="6" t="inlineStr">
        <is>
          <t>`npm run build` + `npm test` chạy được trên máy sạch; mọi người pull và code tiếp không chờ nhau.</t>
        </is>
      </c>
      <c r="G10" s="6" t="inlineStr">
        <is>
          <t>Xong</t>
        </is>
      </c>
      <c r="H10" s="11" t="inlineStr">
        <is>
          <t>OK</t>
        </is>
      </c>
      <c r="I10" s="18" t="inlineStr">
        <is>
          <t>19/10/2026 11:23 (02d8e3c)</t>
        </is>
      </c>
    </row>
    <row r="11" ht="24" customHeight="1">
      <c r="A11" s="6" t="inlineStr">
        <is>
          <t>GĐ1</t>
        </is>
      </c>
      <c r="B11" s="6" t="inlineStr">
        <is>
          <t>GD1-03</t>
        </is>
      </c>
      <c r="C11" s="6" t="inlineStr">
        <is>
          <t>Lan</t>
        </is>
      </c>
      <c r="D11" s="6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6" t="inlineStr">
        <is>
          <t>backend/prisma/seed.ts</t>
        </is>
      </c>
      <c r="F11" s="6" t="inlineStr">
        <is>
          <t>`prisma db seed` chạy 2 lần liên tiếp không lỗi.</t>
        </is>
      </c>
      <c r="G11" s="6" t="inlineStr">
        <is>
          <t>Xong</t>
        </is>
      </c>
      <c r="H11" s="11" t="inlineStr">
        <is>
          <t>OK</t>
        </is>
      </c>
      <c r="I11" s="18" t="inlineStr">
        <is>
          <t>19/10/2026 14:08 (365609f)</t>
        </is>
      </c>
    </row>
    <row r="12" ht="24" customHeight="1">
      <c r="A12" s="6" t="inlineStr">
        <is>
          <t>GĐ1</t>
        </is>
      </c>
      <c r="B12" s="6" t="inlineStr">
        <is>
          <t>GD1-04</t>
        </is>
      </c>
      <c r="C12" s="6" t="inlineStr">
        <is>
          <t>Lan</t>
        </is>
      </c>
      <c r="D12" s="6" t="inlineStr">
        <is>
          <t>GET /products bằng Prisma: chỉ sản phẩm đang bán, KHÔNG trả stock, rỗng trả [].</t>
        </is>
      </c>
      <c r="E12" s="6" t="inlineStr">
        <is>
          <t>modules/products/products.controller.ts, products.service.ts</t>
        </is>
      </c>
      <c r="F12" s="6" t="inlineStr">
        <is>
          <t>Khớp docs/product-catalog/api-contract; không lộ stock.</t>
        </is>
      </c>
      <c r="G12" s="6" t="inlineStr">
        <is>
          <t>Xong</t>
        </is>
      </c>
      <c r="H12" s="11" t="inlineStr">
        <is>
          <t>OK</t>
        </is>
      </c>
      <c r="I12" s="18" t="inlineStr">
        <is>
          <t>19/10/2026 14:08 (365609f)</t>
        </is>
      </c>
    </row>
    <row r="13" ht="36" customHeight="1">
      <c r="A13" s="6" t="inlineStr">
        <is>
          <t>GĐ1</t>
        </is>
      </c>
      <c r="B13" s="6" t="inlineStr">
        <is>
          <t>GD1-05</t>
        </is>
      </c>
      <c r="C13" s="6" t="inlineStr">
        <is>
          <t>Lan</t>
        </is>
      </c>
      <c r="D13" s="6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6" t="inlineStr">
        <is>
          <t>modules/promotions/**, modules/loyalty/**</t>
        </is>
      </c>
      <c r="F13" s="6" t="inlineStr">
        <is>
          <t>Gọi 2 lần chỉ cộng điểm 1 lần; giảm giá không làm finalAmount &lt; 0.</t>
        </is>
      </c>
      <c r="G13" s="6" t="inlineStr">
        <is>
          <t>Xong</t>
        </is>
      </c>
      <c r="H13" s="11" t="inlineStr">
        <is>
          <t>OK</t>
        </is>
      </c>
      <c r="I13" s="18" t="inlineStr">
        <is>
          <t>21/10/2026 01:50 (74fabdc)</t>
        </is>
      </c>
    </row>
    <row r="14" ht="24" customHeight="1">
      <c r="A14" s="6" t="inlineStr">
        <is>
          <t>GĐ1</t>
        </is>
      </c>
      <c r="B14" s="6" t="inlineStr">
        <is>
          <t>GD1-06</t>
        </is>
      </c>
      <c r="C14" s="6" t="inlineStr">
        <is>
          <t>Vũ Huy</t>
        </is>
      </c>
      <c r="D14" s="6" t="inlineStr">
        <is>
          <t>PricingService.calculate (nguồn giá duy nhất: unitPrice, lineTotal) + GET /products/:id (giá theo size, topping đang bán, 404, cờ hết hàng).</t>
        </is>
      </c>
      <c r="E14" s="6" t="inlineStr">
        <is>
          <t>modules/pricing/**, modules/products/product-detail.*</t>
        </is>
      </c>
      <c r="F14" s="6" t="inlineStr">
        <is>
          <t>Ví dụ giá S/M/L × 0–3 topping khớp docs; id sai → 404.</t>
        </is>
      </c>
      <c r="G14" s="6" t="inlineStr">
        <is>
          <t>Xong</t>
        </is>
      </c>
      <c r="H14" s="11" t="inlineStr">
        <is>
          <t>OK</t>
        </is>
      </c>
      <c r="I14" s="18" t="inlineStr">
        <is>
          <t>19/10/2026 21:50 (d51541c)</t>
        </is>
      </c>
    </row>
    <row r="15" ht="36" customHeight="1">
      <c r="A15" s="6" t="inlineStr">
        <is>
          <t>GĐ1</t>
        </is>
      </c>
      <c r="B15" s="6" t="inlineStr">
        <is>
          <t>GD1-07</t>
        </is>
      </c>
      <c r="C15" s="6" t="inlineStr">
        <is>
          <t>Vũ Huy</t>
        </is>
      </c>
      <c r="D15" s="6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6" t="inlineStr">
        <is>
          <t>modules/orders/cancel/**</t>
        </is>
      </c>
      <c r="F15" s="6" t="inlineStr">
        <is>
          <t>Hủy 2 lần → 409; tồn kho trở lại đúng.</t>
        </is>
      </c>
      <c r="G15" s="6" t="inlineStr">
        <is>
          <t>Xong</t>
        </is>
      </c>
      <c r="H15" s="11" t="inlineStr">
        <is>
          <t>OK</t>
        </is>
      </c>
      <c r="I15" s="18" t="inlineStr">
        <is>
          <t>20/10/2026 15:13 (d25822c)</t>
        </is>
      </c>
    </row>
    <row r="16" ht="36" customHeight="1">
      <c r="A16" s="6" t="inlineStr">
        <is>
          <t>GĐ1</t>
        </is>
      </c>
      <c r="B16" s="6" t="inlineStr">
        <is>
          <t>GD1-08</t>
        </is>
      </c>
      <c r="C16" s="6" t="inlineStr">
        <is>
          <t>Hạnh</t>
        </is>
      </c>
      <c r="D16" s="6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6" t="inlineStr">
        <is>
          <t>modules/orders/order.service.ts, order-state.ts</t>
        </is>
      </c>
      <c r="F16" s="6" t="inlineStr">
        <is>
          <t>Chuyển sai → 409; COMPLETED/CANCELLED không đi tiếp.</t>
        </is>
      </c>
      <c r="G16" s="6" t="inlineStr">
        <is>
          <t>Xong</t>
        </is>
      </c>
      <c r="H16" s="11" t="inlineStr">
        <is>
          <t>OK</t>
        </is>
      </c>
      <c r="I16" s="18" t="inlineStr">
        <is>
          <t>20/10/2026 07:05 (713effd)</t>
        </is>
      </c>
    </row>
    <row r="17" ht="48" customHeight="1">
      <c r="A17" s="6" t="inlineStr">
        <is>
          <t>GĐ1</t>
        </is>
      </c>
      <c r="B17" s="6" t="inlineStr">
        <is>
          <t>GD1-09</t>
        </is>
      </c>
      <c r="C17" s="6" t="inlineStr">
        <is>
          <t>Hạnh</t>
        </is>
      </c>
      <c r="D17" s="6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6" t="inlineStr">
        <is>
          <t>modules/orders/** (trừ cancel, history)</t>
        </is>
      </c>
      <c r="F17" s="6" t="inlineStr">
        <is>
          <t>Server tự tính tiền; lỗi giữa chừng → rollback; hết hàng → 400; trả mã đơn.</t>
        </is>
      </c>
      <c r="G17" s="6" t="inlineStr">
        <is>
          <t>Xong</t>
        </is>
      </c>
      <c r="H17" s="11" t="inlineStr">
        <is>
          <t>OK</t>
        </is>
      </c>
      <c r="I17" s="18" t="inlineStr">
        <is>
          <t>20/10/2026 07:05 (713effd)</t>
        </is>
      </c>
    </row>
    <row r="18" ht="60" customHeight="1">
      <c r="A18" s="6" t="inlineStr">
        <is>
          <t>GĐ1</t>
        </is>
      </c>
      <c r="B18" s="6" t="inlineStr">
        <is>
          <t>GD1-10</t>
        </is>
      </c>
      <c r="C18" s="6" t="inlineStr">
        <is>
          <t>Kiệt</t>
        </is>
      </c>
      <c r="D18" s="6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6" t="inlineStr">
        <is>
          <t>modules/payments/**</t>
        </is>
      </c>
      <c r="F18" s="6" t="inlineStr">
        <is>
          <t>Replay không tạo Payment mới; không 500 khi trùng key; chỉ gọi transition() để đổi trạng thái.</t>
        </is>
      </c>
      <c r="G18" s="6" t="inlineStr">
        <is>
          <t>Xong</t>
        </is>
      </c>
      <c r="H18" s="11" t="inlineStr">
        <is>
          <t>OK</t>
        </is>
      </c>
      <c r="I18" s="18" t="inlineStr">
        <is>
          <t>22/10/2026 00:10 (2515e1a)</t>
        </is>
      </c>
    </row>
    <row r="19" ht="24" customHeight="1">
      <c r="A19" s="6" t="inlineStr">
        <is>
          <t>GĐ1</t>
        </is>
      </c>
      <c r="B19" s="6" t="inlineStr">
        <is>
          <t>GD1-11</t>
        </is>
      </c>
      <c r="C19" s="6" t="inlineStr">
        <is>
          <t>Quang Huy</t>
        </is>
      </c>
      <c r="D19" s="6" t="inlineStr">
        <is>
          <t>GET /orders/me: lọc theo req.user.sub, mới nhất trước, phân trang, kèm items + trạng thái thanh toán.</t>
        </is>
      </c>
      <c r="E19" s="6" t="inlineStr">
        <is>
          <t>modules/orders/history/**</t>
        </is>
      </c>
      <c r="F19" s="6" t="inlineStr">
        <is>
          <t>User A không đọc được đơn của user B.</t>
        </is>
      </c>
      <c r="G19" s="6" t="inlineStr">
        <is>
          <t>Xong</t>
        </is>
      </c>
      <c r="H19" s="11" t="inlineStr">
        <is>
          <t>OK</t>
        </is>
      </c>
      <c r="I19" s="18" t="inlineStr">
        <is>
          <t>23/10/2026 09:36 (d7bb5bf)</t>
        </is>
      </c>
    </row>
    <row r="20" ht="24" customHeight="1">
      <c r="A20" s="6" t="inlineStr">
        <is>
          <t>GĐ1</t>
        </is>
      </c>
      <c r="B20" s="6" t="inlineStr">
        <is>
          <t>GD1-12</t>
        </is>
      </c>
      <c r="C20" s="6" t="inlineStr">
        <is>
          <t>Hào</t>
        </is>
      </c>
      <c r="D20" s="6" t="inlineStr">
        <is>
          <t>Script bắn N request song song POST /orders (dùng cho test (c)) + curl thử luồng Orders/Payments của Hạnh, Kiệt và báo lỗi cho đúng owner.</t>
        </is>
      </c>
      <c r="E20" s="6" t="inlineStr">
        <is>
          <t>backend/test/helpers/**</t>
        </is>
      </c>
      <c r="F20" s="6" t="inlineStr">
        <is>
          <t>1 lệnh chạy được; in số đơn thành công/thất bại và tồn kho cuối.</t>
        </is>
      </c>
      <c r="G20" s="6" t="inlineStr">
        <is>
          <t>Xong</t>
        </is>
      </c>
      <c r="H20" s="11" t="inlineStr">
        <is>
          <t>OK</t>
        </is>
      </c>
      <c r="I20" s="18" t="inlineStr">
        <is>
          <t>22/10/2026 20:37 (1fe259f)</t>
        </is>
      </c>
    </row>
    <row r="21">
      <c r="A21" s="7" t="inlineStr">
        <is>
          <t>GIAI ĐOẠN 2 — FRONTEND (song song; nối API thật; mọi màn dùng tốt ở 375px, có loading / empty / error)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</row>
    <row r="22" ht="26.4" customHeight="1">
      <c r="A22" s="15" t="inlineStr">
        <is>
          <t>GĐ2</t>
        </is>
      </c>
      <c r="B22" s="15" t="inlineStr">
        <is>
          <t>GD2-01</t>
        </is>
      </c>
      <c r="C22" s="15" t="inlineStr">
        <is>
          <t>Chiến</t>
        </is>
      </c>
      <c r="D22" s="15" t="inlineStr">
        <is>
          <t>FE Đăng nhập &amp; Đăng ký: form nhập auth, api-client gắn token Bearer, xử lý route guard bảo vệ các trang /checkout và /orders.</t>
        </is>
      </c>
      <c r="E22" s="15" t="inlineStr">
        <is>
          <t>frontend/src/app/auth/**, lib/api-client.ts, hooks/useRequireAuth.ts</t>
        </is>
      </c>
      <c r="F22" s="15" t="inlineStr">
        <is>
          <t>Giao diện tương tác được; đăng ký/đăng nhập thành công và lưu token; lỗi 401 tự chuyển hướng về login; route guard hoạt động.</t>
        </is>
      </c>
      <c r="G22" s="15" t="inlineStr">
        <is>
          <t>Xong</t>
        </is>
      </c>
      <c r="H22" s="11" t="inlineStr">
        <is>
          <t>OK</t>
        </is>
      </c>
      <c r="I22" s="18" t="inlineStr">
        <is>
          <t>23/10/2026 16:55 (205a59b)</t>
        </is>
      </c>
    </row>
    <row r="23" ht="26.4" customHeight="1">
      <c r="A23" s="15" t="inlineStr">
        <is>
          <t>GĐ2</t>
        </is>
      </c>
      <c r="B23" s="15" t="inlineStr">
        <is>
          <t>GD2-02</t>
        </is>
      </c>
      <c r="C23" s="15" t="inlineStr">
        <is>
          <t>Quang Huy</t>
        </is>
      </c>
      <c r="D23" s="15" t="inlineStr">
        <is>
          <t>FE AppShell &amp; Điều hướng chung: khung layout, BottomNav 3 tab (Menu, Giỏ có badge số lượng, Đơn hàng), tối ưu giao diện mobile 375px.</t>
        </is>
      </c>
      <c r="E23" s="15" t="inlineStr">
        <is>
          <t>frontend/src/components/shell/**, app/layout.tsx, app/globals.css</t>
        </is>
      </c>
      <c r="F23" s="15" t="inlineStr">
        <is>
          <t>Giao diện tương tác được; thanh BottomNav chuyển trang mượt; badge số lượng giỏ cập nhật tức thì; hiển thị chuẩn 360–430px.</t>
        </is>
      </c>
      <c r="G23" s="15" t="inlineStr">
        <is>
          <t>Xong</t>
        </is>
      </c>
      <c r="H23" s="11" t="inlineStr">
        <is>
          <t>OK</t>
        </is>
      </c>
      <c r="I23" s="18" t="inlineStr">
        <is>
          <t>23/10/2026 16:54 (592d477)</t>
        </is>
      </c>
    </row>
    <row r="24" ht="26.4" customHeight="1">
      <c r="A24" s="15" t="inlineStr">
        <is>
          <t>GĐ2</t>
        </is>
      </c>
      <c r="B24" s="15" t="inlineStr">
        <is>
          <t>GD2-03</t>
        </is>
      </c>
      <c r="C24" s="15" t="inlineStr">
        <is>
          <t>Quang Huy</t>
        </is>
      </c>
      <c r="D24" s="15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15" t="inlineStr">
        <is>
          <t>frontend/src/app/orders/**, services/order.service.ts</t>
        </is>
      </c>
      <c r="F24" s="15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15" t="inlineStr">
        <is>
          <t>Xong</t>
        </is>
      </c>
      <c r="H24" s="11" t="inlineStr">
        <is>
          <t>OK</t>
        </is>
      </c>
      <c r="I24" s="18" t="inlineStr">
        <is>
          <t>23/10/2026 16:56 (629c021)</t>
        </is>
      </c>
    </row>
    <row r="25" ht="26.4" customHeight="1">
      <c r="A25" s="15" t="inlineStr">
        <is>
          <t>GĐ2</t>
        </is>
      </c>
      <c r="B25" s="15" t="inlineStr">
        <is>
          <t>GD2-04</t>
        </is>
      </c>
      <c r="C25" s="15" t="inlineStr">
        <is>
          <t>Lan</t>
        </is>
      </c>
      <c r="D25" s="15" t="inlineStr">
        <is>
          <t>FE Trang Menu sản phẩm: lưới thực đơn 2 cột, ProductCard hiển thị ảnh + fallback, tên món, giá bán, đủ các trạng thái loading/empty/error.</t>
        </is>
      </c>
      <c r="E25" s="15" t="inlineStr">
        <is>
          <t>frontend/src/app/menu/**, components/menu/**, components/ui/ProductImage.tsx</t>
        </is>
      </c>
      <c r="F25" s="15" t="inlineStr">
        <is>
          <t>Giao diện tương tác được; tải danh sách sản phẩm từ API; click vào món chuyển đúng sang trang chi tiết; ảnh lỗi tự hiển thị ảnh mặc định.</t>
        </is>
      </c>
      <c r="G25" s="15" t="inlineStr">
        <is>
          <t>Xong</t>
        </is>
      </c>
      <c r="H25" s="11" t="inlineStr">
        <is>
          <t>OK</t>
        </is>
      </c>
      <c r="I25" s="18" t="inlineStr">
        <is>
          <t>23/10/2026 16:55 (7f86721)</t>
        </is>
      </c>
    </row>
    <row r="26" ht="26.4" customHeight="1">
      <c r="A26" s="15" t="inlineStr">
        <is>
          <t>GĐ2</t>
        </is>
      </c>
      <c r="B26" s="15" t="inlineStr">
        <is>
          <t>GD2-05</t>
        </is>
      </c>
      <c r="C26" s="15" t="inlineStr">
        <is>
          <t>Lan</t>
        </is>
      </c>
      <c r="D26" s="15" t="inlineStr">
        <is>
          <t>FE Áp dụng mã khuyến mãi (Voucher): ô nhập mã voucher ở giỏ/checkout, gọi kiểm tra mã, hiển thị số tiền giảm và tính lại tổng thanh toán.</t>
        </is>
      </c>
      <c r="E26" s="15" t="inlineStr">
        <is>
          <t>frontend/src/app/cart/page.tsx, app/checkout/page.tsx</t>
        </is>
      </c>
      <c r="F26" s="15" t="inlineStr">
        <is>
          <t>Giao diện tương tác được; nhập mã hợp lệ giảm đúng số tiền; nhập mã sai báo lỗi rõ ràng và giữ nguyên trạng thái giỏ hàng.</t>
        </is>
      </c>
      <c r="G26" s="15" t="inlineStr">
        <is>
          <t>Xong</t>
        </is>
      </c>
      <c r="H26" s="11" t="inlineStr">
        <is>
          <t>OK</t>
        </is>
      </c>
      <c r="I26" s="18" t="inlineStr">
        <is>
          <t>23/10/2026 16:55 (f6cf3ea)</t>
        </is>
      </c>
    </row>
    <row r="27" ht="26.4" customHeight="1">
      <c r="A27" s="15" t="inlineStr">
        <is>
          <t>GĐ2</t>
        </is>
      </c>
      <c r="B27" s="15" t="inlineStr">
        <is>
          <t>GD2-06</t>
        </is>
      </c>
      <c r="C27" s="15" t="inlineStr">
        <is>
          <t>Vũ Huy</t>
        </is>
      </c>
      <c r="D27" s="15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15" t="inlineStr">
        <is>
          <t>frontend/src/app/products/[id]/**, components/product-detail/**</t>
        </is>
      </c>
      <c r="F27" s="15" t="inlineStr">
        <is>
          <t>Giao diện tương tác được; đổi size/topping giá cập nhật ngay; không cho chọn quá 3 topping; nút Thêm vào giỏ hoạt động chuẩn xác.</t>
        </is>
      </c>
      <c r="G27" s="15" t="inlineStr">
        <is>
          <t>Xong</t>
        </is>
      </c>
      <c r="H27" s="11" t="inlineStr">
        <is>
          <t>OK</t>
        </is>
      </c>
      <c r="I27" s="18" t="inlineStr">
        <is>
          <t>23/10/2026 16:55 (7f86721)</t>
        </is>
      </c>
    </row>
    <row r="28" ht="39.6" customHeight="1">
      <c r="A28" s="15" t="inlineStr">
        <is>
          <t>GĐ2</t>
        </is>
      </c>
      <c r="B28" s="15" t="inlineStr">
        <is>
          <t>GD2-07</t>
        </is>
      </c>
      <c r="C28" s="15" t="inlineStr">
        <is>
          <t>Hào</t>
        </is>
      </c>
      <c r="D28" s="15" t="inlineStr">
        <is>
          <t>FE Quản lý giỏ hàng (Cart State &amp; UI): store Zustand lưu giỏ hàng vào LocalStorage, tự gộp dòng khi trùng cấu hình, trang giỏ hàng /cart.</t>
        </is>
      </c>
      <c r="E28" s="15" t="inlineStr">
        <is>
          <t>frontend/src/store/useCartStore.ts, app/cart/**</t>
        </is>
      </c>
      <c r="F28" s="15" t="inlineStr">
        <is>
          <t>Giao diện tương tác được; thêm món vào giỏ cập nhật ngay; reload trang vẫn giữ nguyên giỏ hàng; giỏ rỗng tự disable nút thanh toán.</t>
        </is>
      </c>
      <c r="G28" s="15" t="inlineStr">
        <is>
          <t>Xong</t>
        </is>
      </c>
      <c r="H28" s="11" t="inlineStr">
        <is>
          <t>OK</t>
        </is>
      </c>
      <c r="I28" s="18" t="inlineStr">
        <is>
          <t>23/10/2026 16:55 (7f86721)</t>
        </is>
      </c>
    </row>
    <row r="29" ht="26.4" customHeight="1">
      <c r="A29" s="15" t="inlineStr">
        <is>
          <t>GĐ2</t>
        </is>
      </c>
      <c r="B29" s="15" t="inlineStr">
        <is>
          <t>GD2-08</t>
        </is>
      </c>
      <c r="C29" s="15" t="inlineStr">
        <is>
          <t>Hạnh</t>
        </is>
      </c>
      <c r="D29" s="15" t="inlineStr">
        <is>
          <t>FE Xác nhận đơn hàng &amp; Tạo đơn: trang /checkout tóm tắt giỏ, gửi POST /orders tạo đơn PENDING, lưu pendingOrderId, chặn bấm đúp đặt hàng.</t>
        </is>
      </c>
      <c r="E29" s="15" t="inlineStr">
        <is>
          <t>frontend/src/app/checkout/page.tsx, services/order.service.ts</t>
        </is>
      </c>
      <c r="F29" s="15" t="inlineStr">
        <is>
          <t>Giao diện tương tác được; bấm Đặt hàng tạo đơn thành công và chuyển sang thanh toán; không mất giỏ khi lỗi mạng; chặn bấm đúp.</t>
        </is>
      </c>
      <c r="G29" s="15" t="inlineStr">
        <is>
          <t>Xong</t>
        </is>
      </c>
      <c r="H29" s="11" t="inlineStr">
        <is>
          <t>OK</t>
        </is>
      </c>
      <c r="I29" s="18" t="inlineStr">
        <is>
          <t>23/10/2026 16:55 (f6cf3ea)</t>
        </is>
      </c>
    </row>
    <row r="30" ht="39.6" customHeight="1">
      <c r="A30" s="15" t="inlineStr">
        <is>
          <t>GĐ2</t>
        </is>
      </c>
      <c r="B30" s="15" t="inlineStr">
        <is>
          <t>GD2-09</t>
        </is>
      </c>
      <c r="C30" s="15" t="inlineStr">
        <is>
          <t>Kiệt</t>
        </is>
      </c>
      <c r="D30" s="15" t="inlineStr">
        <is>
          <t>FE Thanh toán không tiền mặt: màn /checkout/payment chọn Ví/Thẻ, tự tạo Idempotency-Key mới, modal Mock Gateway test thành công/thất bại, retry khi lỗi.</t>
        </is>
      </c>
      <c r="E30" s="15" t="inlineStr">
        <is>
          <t>frontend/src/app/checkout/payment/**, components/checkout/MockGatewayModal.tsx</t>
        </is>
      </c>
      <c r="F30" s="15" t="inlineStr">
        <is>
          <t>Giao diện tương tác được; thanh toán thành công tự xóa giỏ và sang xác nhận đơn; thanh toán thất bại giữ nguyên giỏ và cho phép thử lại.</t>
        </is>
      </c>
      <c r="G30" s="15" t="inlineStr">
        <is>
          <t>Xong</t>
        </is>
      </c>
      <c r="H30" s="11" t="inlineStr">
        <is>
          <t>OK</t>
        </is>
      </c>
      <c r="I30" s="18" t="inlineStr">
        <is>
          <t>23/10/2026 17:59 (56462ea)</t>
        </is>
      </c>
    </row>
    <row r="31">
      <c r="A31" s="13" t="inlineStr">
        <is>
          <t>GIAI ĐOẠN 3 — TÍCH HỢP + BÀN GIAO</t>
        </is>
      </c>
      <c r="B31" s="13" t="n"/>
      <c r="C31" s="13" t="n"/>
      <c r="D31" s="13" t="n"/>
      <c r="E31" s="13" t="n"/>
      <c r="F31" s="13" t="n"/>
      <c r="G31" s="13" t="n"/>
      <c r="H31" s="14" t="n"/>
      <c r="I31" s="14" t="n"/>
    </row>
    <row r="32" ht="15" customHeight="1">
      <c r="A32" s="15" t="inlineStr">
        <is>
          <t>GĐ3</t>
        </is>
      </c>
      <c r="B32" s="15" t="n"/>
      <c r="C32" s="15" t="n"/>
      <c r="D32" s="15" t="n"/>
      <c r="E32" s="15" t="n"/>
      <c r="F32" s="15" t="n"/>
      <c r="G32" s="15" t="n"/>
      <c r="H32" s="16" t="n"/>
      <c r="I32" s="16" t="n"/>
    </row>
    <row r="33" ht="15" customHeight="1">
      <c r="A33" s="15" t="inlineStr">
        <is>
          <t>GĐ3</t>
        </is>
      </c>
      <c r="B33" s="15" t="n"/>
      <c r="C33" s="15" t="n"/>
      <c r="D33" s="15" t="n"/>
      <c r="E33" s="15" t="n"/>
      <c r="F33" s="15" t="n"/>
      <c r="G33" s="15" t="n"/>
      <c r="H33" s="16" t="n"/>
      <c r="I33" s="16" t="n"/>
    </row>
    <row r="34" ht="15" customHeight="1">
      <c r="A34" s="15" t="inlineStr">
        <is>
          <t>GĐ3</t>
        </is>
      </c>
      <c r="B34" s="15" t="n"/>
      <c r="C34" s="15" t="n"/>
      <c r="D34" s="15" t="n"/>
      <c r="E34" s="15" t="n"/>
      <c r="F34" s="15" t="n"/>
      <c r="G34" s="15" t="n"/>
      <c r="H34" s="16" t="n"/>
      <c r="I34" s="16" t="n"/>
    </row>
    <row r="35" ht="15" customHeight="1">
      <c r="A35" s="15" t="inlineStr">
        <is>
          <t>GĐ3</t>
        </is>
      </c>
      <c r="B35" s="15" t="n"/>
      <c r="C35" s="15" t="n"/>
      <c r="D35" s="15" t="n"/>
      <c r="E35" s="15" t="n"/>
      <c r="F35" s="15" t="n"/>
      <c r="G35" s="15" t="n"/>
      <c r="H35" s="16" t="n"/>
      <c r="I35" s="16" t="n"/>
    </row>
    <row r="36" ht="15" customHeight="1">
      <c r="A36" s="15" t="inlineStr">
        <is>
          <t>GĐ3</t>
        </is>
      </c>
      <c r="B36" s="15" t="n"/>
      <c r="C36" s="15" t="n"/>
      <c r="D36" s="15" t="n"/>
      <c r="E36" s="15" t="n"/>
      <c r="F36" s="15" t="n"/>
      <c r="G36" s="15" t="n"/>
      <c r="H36" s="16" t="n"/>
      <c r="I36" s="16" t="n"/>
    </row>
    <row r="37" ht="15" customHeight="1">
      <c r="A37" s="15" t="inlineStr">
        <is>
          <t>GĐ3</t>
        </is>
      </c>
      <c r="B37" s="15" t="n"/>
      <c r="C37" s="15" t="n"/>
      <c r="D37" s="15" t="n"/>
      <c r="E37" s="15" t="n"/>
      <c r="F37" s="15" t="n"/>
      <c r="G37" s="15" t="n"/>
      <c r="H37" s="16" t="n"/>
      <c r="I37" s="16" t="n"/>
    </row>
    <row r="38" ht="15" customHeight="1">
      <c r="A38" s="15" t="inlineStr">
        <is>
          <t>GĐ3</t>
        </is>
      </c>
      <c r="B38" s="15" t="n"/>
      <c r="C38" s="15" t="n"/>
      <c r="D38" s="15" t="n"/>
      <c r="E38" s="15" t="n"/>
      <c r="F38" s="15" t="n"/>
      <c r="G38" s="15" t="n"/>
      <c r="H38" s="16" t="n"/>
      <c r="I38" s="16" t="n"/>
    </row>
    <row r="39" ht="15" customHeight="1">
      <c r="A39" s="15" t="inlineStr">
        <is>
          <t>GĐ3</t>
        </is>
      </c>
      <c r="B39" s="15" t="n"/>
      <c r="C39" s="15" t="n"/>
      <c r="D39" s="15" t="n"/>
      <c r="E39" s="15" t="n"/>
      <c r="F39" s="15" t="n"/>
      <c r="G39" s="15" t="n"/>
      <c r="H39" s="16" t="n"/>
      <c r="I39" s="16" t="n"/>
    </row>
  </sheetData>
  <conditionalFormatting sqref="G7:G39 H7:I8 H21:I21">
    <cfRule type="cellIs" priority="2" operator="equal" dxfId="1">
      <formula>"Xong"</formula>
    </cfRule>
    <cfRule type="cellIs" priority="3" operator="equal" dxfId="0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</cols>
  <sheetData>
    <row r="1" ht="17.4" customHeight="1">
      <c r="A1" s="1" t="n"/>
    </row>
    <row r="3">
      <c r="A3" s="3" t="inlineStr">
        <is>
          <t>Quy tắc</t>
        </is>
      </c>
    </row>
    <row r="4" ht="26.4" customHeight="1">
      <c r="A4" s="8" t="n">
        <v>1</v>
      </c>
      <c r="B4" s="9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>
      <c r="A5" s="8" t="n">
        <v>2</v>
      </c>
      <c r="B5" s="9" t="inlineStr">
        <is>
          <t>Không đổi contract trong docs/ mà chưa báo Chiến. Docs là nguồn sự thật cho agent code.</t>
        </is>
      </c>
    </row>
    <row r="6">
      <c r="A6" s="8" t="n">
        <v>3</v>
      </c>
      <c r="B6" s="9" t="inlineStr">
        <is>
          <t>Giá và tổng tiền do backend tính (PricingService); FE chỉ hiển thị. Chỉ OrderService.transition() được ghi Order.status.</t>
        </is>
      </c>
    </row>
    <row r="7">
      <c r="A7" s="8" t="n">
        <v>4</v>
      </c>
      <c r="B7" s="9" t="inlineStr">
        <is>
          <t>Giỏ hàng chỉ bị xóa khi thanh toán thành công (đơn PAID); mọi lỗi tạo đơn / thanh toán giữ nguyên giỏ.</t>
        </is>
      </c>
    </row>
    <row r="8">
      <c r="A8" s="8" t="n">
        <v>5</v>
      </c>
      <c r="B8" s="9" t="inlineStr">
        <is>
          <t>Mỗi PR vào develop có ít nhất 1 người khác review; không commit thẳng vào main; commit message rõ ràng.</t>
        </is>
      </c>
    </row>
    <row r="9">
      <c r="A9" s="8" t="n">
        <v>6</v>
      </c>
      <c r="B9" s="9" t="inlineStr">
        <is>
          <t>Cuối GĐ1: mỗi người có request curl (hoặc file .http) chạy được cho mọi endpoint của mình trước khi sang GĐ2.</t>
        </is>
      </c>
    </row>
    <row r="10">
      <c r="A10" s="8" t="n">
        <v>7</v>
      </c>
      <c r="B10" s="9" t="inlineStr">
        <is>
          <t>Chỉ viết test cho Task 10 — (a), (b), (c) ở GĐ3. Không viết test FE, không Playwright, không CI.</t>
        </is>
      </c>
    </row>
    <row r="11">
      <c r="A11" s="8" t="n">
        <v>8</v>
      </c>
      <c r="B11" s="9" t="inlineStr">
        <is>
          <t>Không có secret trong repo; .env chỉ có .env.example.</t>
        </is>
      </c>
    </row>
    <row r="13">
      <c r="A13" s="3" t="inlineStr">
        <is>
          <t>Quyết định thiết kế (đã áp dụng trong docs)</t>
        </is>
      </c>
    </row>
    <row r="14">
      <c r="A14" s="3" t="inlineStr">
        <is>
          <t>D1</t>
        </is>
      </c>
      <c r="B14" s="9" t="inlineStr">
        <is>
          <t>Thanh toán lỗi → PAYMENT_FAILED; thử lại PAYMENT_FAILED → PENDING bằng Idempotency-Key mới, không giới hạn lần.</t>
        </is>
      </c>
    </row>
    <row r="15">
      <c r="A15" s="3" t="inlineStr">
        <is>
          <t>D2</t>
        </is>
      </c>
      <c r="B15" s="9" t="inlineStr">
        <is>
          <t>Giỏ chỉ xóa sau PAID; giỏ lưu pendingOrderId; giỏ đổi thì hủy đơn cũ và tạo đơn mới.</t>
        </is>
      </c>
    </row>
    <row r="16">
      <c r="A16" s="3" t="inlineStr">
        <is>
          <t>D3</t>
        </is>
      </c>
      <c r="B16" s="9" t="inlineStr">
        <is>
          <t>GET /products/:id trả toàn bộ topping đang bán; Product dùng optimistic lock (version), Topping dùng cập nhật có điều kiện stock &gt;= quantity.</t>
        </is>
      </c>
    </row>
    <row r="17">
      <c r="A17" s="3" t="inlineStr">
        <is>
          <t>D4</t>
        </is>
      </c>
      <c r="B17" s="9" t="inlineStr">
        <is>
          <t>req.user = { sub, email }; POST /orders không nhận userId.</t>
        </is>
      </c>
    </row>
    <row r="18">
      <c r="A18" s="3" t="inlineStr">
        <is>
          <t>D5</t>
        </is>
      </c>
      <c r="B18" s="9" t="inlineStr">
        <is>
          <t>Số lượng mỗi dòng 1..99.</t>
        </is>
      </c>
    </row>
    <row r="19">
      <c r="A19" s="3" t="inlineStr">
        <is>
          <t>D6</t>
        </is>
      </c>
      <c r="B19" s="9" t="inlineStr">
        <is>
          <t>Giữ 9 chuyển tiếp theo đề (kể cả PAID → CANCELLED ở state machine); thêm POST /orders/:id/cancel; không scheduler.</t>
        </is>
      </c>
    </row>
    <row r="20">
      <c r="A20" s="3" t="inlineStr">
        <is>
          <t>D7</t>
        </is>
      </c>
      <c r="B20" s="9" t="inlineStr">
        <is>
          <t>promotionCode tùy chọn trong POST /orders; PromotionsService.validate tính giảm giá.</t>
        </is>
      </c>
    </row>
    <row r="21">
      <c r="A21" s="3" t="inlineStr">
        <is>
          <t>D8</t>
        </is>
      </c>
      <c r="B21" s="9" t="inlineStr">
        <is>
          <t>Mock gateway điều khiển bằng header X-Mock-Outcome (chỉ khi NODE_ENV ≠ production); công tắc demo ở FE.</t>
        </is>
      </c>
    </row>
    <row r="22">
      <c r="A22" s="3" t="inlineStr">
        <is>
          <t>D9</t>
        </is>
      </c>
      <c r="B22" s="9" t="inlineStr">
        <is>
          <t>1 điểm / 1.000đ finalAmount (làm tròn xuống), chỉ cộng điểm, idempotent theo đơn.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4" customHeight="1">
      <c r="A1" s="1" t="inlineStr">
        <is>
          <t>ĐỐI CHIẾU 10 TASK CỦA ĐỀ</t>
        </is>
      </c>
    </row>
    <row r="3">
      <c r="A3" s="10" t="inlineStr">
        <is>
          <t>Task đề</t>
        </is>
      </c>
      <c r="B3" s="10" t="inlineStr">
        <is>
          <t>Tên task</t>
        </is>
      </c>
      <c r="C3" s="10" t="inlineStr">
        <is>
          <t>Owner chính</t>
        </is>
      </c>
      <c r="D3" s="10" t="inlineStr">
        <is>
          <t>Task trong sheet Phan_cong</t>
        </is>
      </c>
      <c r="E3" s="10" t="inlineStr">
        <is>
          <t>Số task</t>
        </is>
      </c>
      <c r="F3" s="10" t="inlineStr">
        <is>
          <t>Trạng thái</t>
        </is>
      </c>
    </row>
    <row r="4">
      <c r="A4" s="6" t="n">
        <v>1</v>
      </c>
      <c r="B4" s="6" t="inlineStr">
        <is>
          <t>Khởi tạo dự án và cấu trúc</t>
        </is>
      </c>
      <c r="C4" s="6" t="inlineStr">
        <is>
          <t>Chiến</t>
        </is>
      </c>
      <c r="D4" s="6" t="inlineStr">
        <is>
          <t>GD1-02, GD3-04</t>
        </is>
      </c>
      <c r="E4" s="6">
        <f>COUNTIF(Phan_cong!$B$7:$B$39,"GD1-02")+COUNTIF(Phan_cong!$B$7:$B$39,"GD3-04")</f>
        <v/>
      </c>
      <c r="F4" s="6">
        <f>IF(E4&gt;=(LEN(D4)-LEN(SUBSTITUTE(D4,",",""))+1),"Đã phủ","THIẾU")</f>
        <v/>
      </c>
    </row>
    <row r="5">
      <c r="A5" s="6" t="n">
        <v>2</v>
      </c>
      <c r="B5" s="6" t="inlineStr">
        <is>
          <t>API danh sách sản phẩm</t>
        </is>
      </c>
      <c r="C5" s="6" t="inlineStr">
        <is>
          <t>Lan</t>
        </is>
      </c>
      <c r="D5" s="6" t="inlineStr">
        <is>
          <t>GD1-03, GD1-04</t>
        </is>
      </c>
      <c r="E5" s="6">
        <f>COUNTIF(Phan_cong!$B$7:$B$39,"GD1-03")+COUNTIF(Phan_cong!$B$7:$B$39,"GD1-04")</f>
        <v/>
      </c>
      <c r="F5" s="6">
        <f>IF(E5&gt;=(LEN(D5)-LEN(SUBSTITUTE(D5,",",""))+1),"Đã phủ","THIẾU")</f>
        <v/>
      </c>
    </row>
    <row r="6">
      <c r="A6" s="6" t="n">
        <v>3</v>
      </c>
      <c r="B6" s="6" t="inlineStr">
        <is>
          <t>Trang Menu (Frontend)</t>
        </is>
      </c>
      <c r="C6" s="6" t="inlineStr">
        <is>
          <t>Lan</t>
        </is>
      </c>
      <c r="D6" s="6" t="inlineStr">
        <is>
          <t>GD2-04</t>
        </is>
      </c>
      <c r="E6" s="6">
        <f>COUNTIF(Phan_cong!$B$7:$B$39,"GD2-04")</f>
        <v/>
      </c>
      <c r="F6" s="6">
        <f>IF(E6&gt;=(LEN(D6)-LEN(SUBSTITUTE(D6,",",""))+1),"Đã phủ","THIẾU")</f>
        <v/>
      </c>
    </row>
    <row r="7">
      <c r="A7" s="6" t="n">
        <v>4</v>
      </c>
      <c r="B7" s="6" t="inlineStr">
        <is>
          <t>Chi tiết và tùy chọn sản phẩm</t>
        </is>
      </c>
      <c r="C7" s="6" t="inlineStr">
        <is>
          <t>Vũ Huy</t>
        </is>
      </c>
      <c r="D7" s="6" t="inlineStr">
        <is>
          <t>GD1-06, GD2-06</t>
        </is>
      </c>
      <c r="E7" s="6">
        <f>COUNTIF(Phan_cong!$B$7:$B$39,"GD1-06")+COUNTIF(Phan_cong!$B$7:$B$39,"GD2-06")</f>
        <v/>
      </c>
      <c r="F7" s="6">
        <f>IF(E7&gt;=(LEN(D7)-LEN(SUBSTITUTE(D7,",",""))+1),"Đã phủ","THIẾU")</f>
        <v/>
      </c>
    </row>
    <row r="8">
      <c r="A8" s="6" t="n">
        <v>5</v>
      </c>
      <c r="B8" s="6" t="inlineStr">
        <is>
          <t>Giỏ hàng (Cart)</t>
        </is>
      </c>
      <c r="C8" s="6" t="inlineStr">
        <is>
          <t>Hào</t>
        </is>
      </c>
      <c r="D8" s="6" t="inlineStr">
        <is>
          <t>GD2-07</t>
        </is>
      </c>
      <c r="E8" s="6">
        <f>COUNTIF(Phan_cong!$B$7:$B$39,"GD2-07")</f>
        <v/>
      </c>
      <c r="F8" s="6">
        <f>IF(E8&gt;=(LEN(D8)-LEN(SUBSTITUTE(D8,",",""))+1),"Đã phủ","THIẾU")</f>
        <v/>
      </c>
    </row>
    <row r="9">
      <c r="A9" s="6" t="n">
        <v>6</v>
      </c>
      <c r="B9" s="6" t="inlineStr">
        <is>
          <t>API tạo đơn hàng</t>
        </is>
      </c>
      <c r="C9" s="6" t="inlineStr">
        <is>
          <t>Hạnh</t>
        </is>
      </c>
      <c r="D9" s="6" t="inlineStr">
        <is>
          <t>GD1-09, GD2-08</t>
        </is>
      </c>
      <c r="E9" s="6">
        <f>COUNTIF(Phan_cong!$B$7:$B$39,"GD1-09")+COUNTIF(Phan_cong!$B$7:$B$39,"GD2-08")</f>
        <v/>
      </c>
      <c r="F9" s="6">
        <f>IF(E9&gt;=(LEN(D9)-LEN(SUBSTITUTE(D9,",",""))+1),"Đã phủ","THIẾU")</f>
        <v/>
      </c>
    </row>
    <row r="10">
      <c r="A10" s="6" t="n">
        <v>7</v>
      </c>
      <c r="B10" s="6" t="inlineStr">
        <is>
          <t>Đăng ký / Đăng nhập (JWT)</t>
        </is>
      </c>
      <c r="C10" s="6" t="inlineStr">
        <is>
          <t>Chiến</t>
        </is>
      </c>
      <c r="D10" s="6" t="inlineStr">
        <is>
          <t>GD1-01, GD2-01</t>
        </is>
      </c>
      <c r="E10" s="6">
        <f>COUNTIF(Phan_cong!$B$7:$B$39,"GD1-01")+COUNTIF(Phan_cong!$B$7:$B$39,"GD2-01")</f>
        <v/>
      </c>
      <c r="F10" s="6">
        <f>IF(E10&gt;=(LEN(D10)-LEN(SUBSTITUTE(D10,",",""))+1),"Đã phủ","THIẾU")</f>
        <v/>
      </c>
    </row>
    <row r="11">
      <c r="A11" s="6" t="n">
        <v>8</v>
      </c>
      <c r="B11" s="6" t="inlineStr">
        <is>
          <t>Thanh toán không tiền mặt</t>
        </is>
      </c>
      <c r="C11" s="6" t="inlineStr">
        <is>
          <t>Kiệt</t>
        </is>
      </c>
      <c r="D11" s="6" t="inlineStr">
        <is>
          <t>GD1-10, GD2-09</t>
        </is>
      </c>
      <c r="E11" s="6">
        <f>COUNTIF(Phan_cong!$B$7:$B$39,"GD1-10")+COUNTIF(Phan_cong!$B$7:$B$39,"GD2-09")</f>
        <v/>
      </c>
      <c r="F11" s="6">
        <f>IF(E11&gt;=(LEN(D11)-LEN(SUBSTITUTE(D11,",",""))+1),"Đã phủ","THIẾU")</f>
        <v/>
      </c>
    </row>
    <row r="12" ht="15" customHeight="1">
      <c r="A12" s="6" t="n">
        <v>9</v>
      </c>
      <c r="B12" s="6" t="inlineStr">
        <is>
          <t>Xác nhận, lịch sử đơn &amp; bàn giao</t>
        </is>
      </c>
      <c r="C12" s="6" t="inlineStr">
        <is>
          <t>Quang Huy</t>
        </is>
      </c>
      <c r="D12" s="6" t="inlineStr">
        <is>
          <t>GD1-11, GD2-03, GD3-04, GD3-08</t>
        </is>
      </c>
      <c r="E12" s="6">
        <f>COUNTIF(Phan_cong!$B$7:$B$39,"GD1-11")+COUNTIF(Phan_cong!$B$7:$B$39,"GD2-03")+COUNTIF(Phan_cong!$B$7:$B$39,"GD3-04")+COUNTIF(Phan_cong!$B$7:$B$39,"GD3-08")</f>
        <v/>
      </c>
      <c r="F12" s="6">
        <f>IF(E12&gt;=(LEN(D12)-LEN(SUBSTITUTE(D12,",",""))+1),"Đã phủ","THIẾU")</f>
        <v/>
      </c>
    </row>
    <row r="13">
      <c r="A13" s="6" t="n">
        <v>10</v>
      </c>
      <c r="B13" s="6" t="inlineStr">
        <is>
          <t>Nghiệp vụ backend (a)(b)(c)</t>
        </is>
      </c>
      <c r="C13" s="6" t="inlineStr">
        <is>
          <t>Hạnh / Kiệt / Hào</t>
        </is>
      </c>
      <c r="D13" s="6" t="inlineStr">
        <is>
          <t>GD1-08, GD1-10, GD3-01, GD3-02, GD3-03</t>
        </is>
      </c>
      <c r="E13" s="6">
        <f>COUNTIF(Phan_cong!$B$7:$B$39,"GD1-08")+COUNTIF(Phan_cong!$B$7:$B$39,"GD1-10")+COUNTIF(Phan_cong!$B$7:$B$39,"GD3-01")+COUNTIF(Phan_cong!$B$7:$B$39,"GD3-02")+COUNTIF(Phan_cong!$B$7:$B$39,"GD3-03")</f>
        <v/>
      </c>
      <c r="F13" s="6">
        <f>IF(E13&gt;=(LEN(D13)-LEN(SUBSTITUTE(D13,",",""))+1),"Đã phủ","THIẾU")</f>
        <v/>
      </c>
    </row>
    <row r="14">
      <c r="A14" s="3" t="inlineStr">
        <is>
          <t>Tổng</t>
        </is>
      </c>
      <c r="F14" s="17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2" customWidth="1" min="4" max="4"/>
    <col width="44" customWidth="1" min="5" max="5"/>
    <col width="44" customWidth="1" min="6" max="6"/>
    <col width="12" customWidth="1" min="7" max="7"/>
    <col width="15" customWidth="1" min="8" max="8"/>
    <col width="30" customWidth="1" min="9" max="9"/>
  </cols>
  <sheetData>
    <row r="1">
      <c r="A1" s="19" t="inlineStr">
        <is>
          <t>BREWLITE — CHANGE REQUEST (CR-01): QUẢN LÝ TỒN KHO THEO NGUYÊN LIỆU</t>
        </is>
      </c>
    </row>
    <row r="2">
      <c r="A2" s="20" t="inlineStr">
        <is>
          <t>Phần việc thực hiện của LEADER (Chiến): Thiết kế CR, cập nhật DB docs/UML, Prisma Schema &amp; Migration, Helper trừ/hoàn kho và Unit tests.</t>
        </is>
      </c>
    </row>
    <row r="3">
      <c r="A3" s="21" t="inlineStr">
        <is>
          <t>Tiến độ (số task Xong):</t>
        </is>
      </c>
      <c r="C3" s="21">
        <f>COUNTIF(G8:G8,"Xong")&amp;" / "&amp;COUNTA(B8:B8)</f>
        <v/>
      </c>
    </row>
    <row r="6">
      <c r="A6" s="22" t="inlineStr">
        <is>
          <t>Giai đoạn</t>
        </is>
      </c>
      <c r="B6" s="22" t="inlineStr">
        <is>
          <t>ID</t>
        </is>
      </c>
      <c r="C6" s="22" t="inlineStr">
        <is>
          <t>Người</t>
        </is>
      </c>
      <c r="D6" s="22" t="inlineStr">
        <is>
          <t>Việc cần làm</t>
        </is>
      </c>
      <c r="E6" s="22" t="inlineStr">
        <is>
          <t>File / thư mục</t>
        </is>
      </c>
      <c r="F6" s="22" t="inlineStr">
        <is>
          <t>Xong khi</t>
        </is>
      </c>
      <c r="G6" s="22" t="inlineStr">
        <is>
          <t>Status</t>
        </is>
      </c>
      <c r="H6" s="22" t="inlineStr">
        <is>
          <t>Leader Duyệt</t>
        </is>
      </c>
      <c r="I6" s="22" t="inlineStr">
        <is>
          <t>Ngày Hoàn thành Task</t>
        </is>
      </c>
    </row>
    <row r="7" ht="24" customHeight="1">
      <c r="A7" s="23" t="inlineStr">
        <is>
          <t>GIAI ĐOẠN 1 — THIẾT KẾ NỀN TẢNG, SCHEMA, MIGRATION &amp; HELPER (LEADER CHIẾN)</t>
        </is>
      </c>
    </row>
    <row r="8" ht="95" customHeight="1">
      <c r="A8" s="27" t="inlineStr">
        <is>
          <t>GĐ1-CR</t>
        </is>
      </c>
      <c r="B8" s="28" t="inlineStr">
        <is>
          <t>CR-LEADER</t>
        </is>
      </c>
      <c r="C8" s="28" t="inlineStr">
        <is>
          <t>Chiến</t>
        </is>
      </c>
      <c r="D8" s="29" t="inlineStr">
        <is>
          <t>Thực hiện trọn gói phần việc LEADER cho Change Request tồn kho theo nguyên liệu:
1. Viết lại CR doc (docs/change-request-ingredients.md) chốt D10–D14, định lượng S/M/L theo g/ml, bỏ version Ingredient, giữ cột cũ deprecated.
2. Sửa thiết kế DB (docs/database-design.md, database-erd.puml, class-diagram-backend.puml, database-uml.puml).
3. Thêm 4 model Prisma &amp; tạo migration add_ingredient_inventory (không alter cột cũ).
4. Viết helper deductIngredients/restoreIngredients và trọn bộ unit test Jest 100% pass.</t>
        </is>
      </c>
      <c r="E8" s="29" t="inlineStr">
        <is>
          <t>docs/change-request-ingredients.md
docs/database-design.md
docs/architecture/**
backend/prisma/**
backend/src/common/ingredient-stock.helper.*</t>
        </is>
      </c>
      <c r="F8" s="29" t="inlineStr">
        <is>
          <t>CR &amp; DB docs chuẩn D10-D14; Prisma validate/generate pass; 1 migration chỉ thêm bảng; helper có unit test 100% pass; npm run build &amp; npm test pass sạch sẽ.</t>
        </is>
      </c>
      <c r="G8" s="30" t="inlineStr">
        <is>
          <t>Xong</t>
        </is>
      </c>
      <c r="H8" s="28" t="inlineStr">
        <is>
          <t>OK</t>
        </is>
      </c>
      <c r="I8" s="27" t="inlineStr">
        <is>
          <t>27/10/2026 22:25 (CR-01)</t>
        </is>
      </c>
    </row>
  </sheetData>
  <mergeCells count="1">
    <mergeCell ref="A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2026-10-18T10:44:53Z</dcterms:created>
  <dcterms:modified xsi:type="dcterms:W3CDTF">2026-10-27T16:07:23Z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