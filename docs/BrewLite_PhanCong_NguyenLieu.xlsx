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han_cong" sheetId="1" state="visible" r:id="rId1"/>
    <sheet name="Quy_tac" sheetId="2" state="visible" r:id="rId2"/>
    <sheet name="Doi_chieu_10_task" sheetId="3" state="visible" r:id="rId3"/>
    <sheet name="CR_NguyenLieu_Admi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/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theme="9" tint="0.5999"/>
        <bgColor rgb="FFFFEB9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top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top" wrapText="1"/>
    </xf>
    <xf numFmtId="0" fontId="13" fillId="5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top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8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top" wrapText="1"/>
    </xf>
    <xf numFmtId="0" fontId="13" fillId="5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17" fillId="7" borderId="3" applyAlignment="1" pivotButton="0" quotePrefix="0" xfId="0">
      <alignment horizontal="left" vertical="center"/>
    </xf>
    <xf numFmtId="0" fontId="0" fillId="7" borderId="3" pivotButton="0" quotePrefix="0" xfId="0"/>
    <xf numFmtId="0" fontId="18" fillId="0" borderId="3" applyAlignment="1" pivotButton="0" quotePrefix="0" xfId="0">
      <alignment horizontal="center" vertical="top" wrapText="1"/>
    </xf>
    <xf numFmtId="0" fontId="19" fillId="0" borderId="3" applyAlignment="1" pivotButton="0" quotePrefix="0" xfId="0">
      <alignment horizontal="center" vertical="top" wrapText="1"/>
    </xf>
    <xf numFmtId="0" fontId="18" fillId="0" borderId="3" applyAlignment="1" pivotButton="0" quotePrefix="0" xfId="0">
      <alignment horizontal="left" vertical="top" wrapText="1"/>
    </xf>
    <xf numFmtId="0" fontId="20" fillId="8" borderId="3" applyAlignment="1" pivotButton="0" quotePrefix="0" xfId="0">
      <alignment horizontal="center" vertical="top" wrapText="1"/>
    </xf>
    <xf numFmtId="0" fontId="17" fillId="8" borderId="3" applyAlignment="1" pivotButton="0" quotePrefix="0" xfId="0">
      <alignment horizontal="left" vertical="center"/>
    </xf>
    <xf numFmtId="0" fontId="0" fillId="8" borderId="3" pivotButton="0" quotePrefix="0" xfId="0"/>
    <xf numFmtId="0" fontId="17" fillId="9" borderId="3" applyAlignment="1" pivotButton="0" quotePrefix="0" xfId="0">
      <alignment horizontal="left" vertical="center"/>
    </xf>
    <xf numFmtId="0" fontId="0" fillId="9" borderId="3" pivotButton="0" quotePrefix="0" xfId="0"/>
    <xf numFmtId="0" fontId="21" fillId="0" borderId="8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b val="1"/>
        <color rgb="00375623"/>
        <sz val="10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7F6000"/>
        <sz val="10"/>
      </font>
      <fill>
        <patternFill patternType="solid">
          <fgColor rgb="00FFF2CC"/>
          <bgColor rgb="00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pane xSplit="0" ySplit="6" topLeftCell="A7" activePane="bottomLeft" state="frozen"/>
      <selection pane="topLeft" activeCell="D1" activeCellId="0" sqref="D1"/>
      <selection pane="bottomLeft" activeCell="I30" activeCellId="0" sqref="I30"/>
    </sheetView>
  </sheetViews>
  <sheetFormatPr baseColWidth="8" defaultColWidth="8.66796875" defaultRowHeight="14.25" zeroHeight="0" outlineLevelRow="0"/>
  <cols>
    <col width="8" customWidth="1" style="27" min="1" max="1"/>
    <col width="9" customWidth="1" style="27" min="2" max="2"/>
    <col width="12" customWidth="1" style="27" min="3" max="3"/>
    <col width="80" customWidth="1" style="27" min="4" max="4"/>
    <col width="38" customWidth="1" style="27" min="5" max="5"/>
    <col width="42" customWidth="1" style="27" min="6" max="6"/>
    <col width="11" customWidth="1" style="27" min="7" max="7"/>
    <col width="15.88" customWidth="1" style="27" min="8" max="8"/>
    <col width="30" customWidth="1" style="27" min="9" max="9"/>
  </cols>
  <sheetData>
    <row r="1" ht="17.25" customHeight="1" s="28">
      <c r="A1" s="29" t="inlineStr">
        <is>
          <t>BREWLITE — PHÂN CÔNG (3 GIAI ĐOẠN)</t>
        </is>
      </c>
    </row>
    <row r="2" ht="14.25" customHeight="1" s="28">
      <c r="A2" s="30" t="inlineStr">
        <is>
          <t>GĐ1 Backend → GĐ2 Frontend → GĐ3 Tích hợp + bàn giao. Mỗi người code (kèm agent) theo docs/ của feature mình; chỉ sửa thư mục của mình. Chi tiết quy tắc ở sheet Quy_tac.</t>
        </is>
      </c>
    </row>
    <row r="3" ht="14.25" customHeight="1" s="28">
      <c r="A3" s="31" t="inlineStr">
        <is>
          <t>Tiến độ (số task Xong):</t>
        </is>
      </c>
      <c r="C3" s="32">
        <f>COUNTIF(G7:G39,"Xong")&amp;" / "&amp;COUNTA(B7:B39)</f>
        <v/>
      </c>
    </row>
    <row r="6" ht="24" customHeight="1" s="28">
      <c r="A6" s="33" t="inlineStr">
        <is>
          <t>Giai đoạn</t>
        </is>
      </c>
      <c r="B6" s="33" t="inlineStr">
        <is>
          <t>ID</t>
        </is>
      </c>
      <c r="C6" s="33" t="inlineStr">
        <is>
          <t>Người</t>
        </is>
      </c>
      <c r="D6" s="33" t="inlineStr">
        <is>
          <t>Việc cần làm</t>
        </is>
      </c>
      <c r="E6" s="33" t="inlineStr">
        <is>
          <t>File / thư mục</t>
        </is>
      </c>
      <c r="F6" s="33" t="inlineStr">
        <is>
          <t>Xong khi</t>
        </is>
      </c>
      <c r="G6" s="33" t="inlineStr">
        <is>
          <t>Status</t>
        </is>
      </c>
      <c r="H6" s="33" t="inlineStr">
        <is>
          <t>Leader Duyệt</t>
        </is>
      </c>
      <c r="I6" s="33" t="inlineStr">
        <is>
          <t>Ngày Hoàn thành Task</t>
        </is>
      </c>
    </row>
    <row r="7" ht="14.25" customHeight="1" s="28">
      <c r="A7" s="34" t="inlineStr">
        <is>
          <t>GIAI ĐOẠN 1 — BACKEND (song song; cuối GĐ1 mỗi người có request curl chạy được cho endpoint của mình)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</row>
    <row r="8" ht="15" customHeight="1" s="2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</row>
    <row r="9" ht="24" customHeight="1" s="28">
      <c r="A9" s="35" t="inlineStr">
        <is>
          <t>GĐ1</t>
        </is>
      </c>
      <c r="B9" s="35" t="inlineStr">
        <is>
          <t>GD1-01</t>
        </is>
      </c>
      <c r="C9" s="35" t="inlineStr">
        <is>
          <t>Chiến</t>
        </is>
      </c>
      <c r="D9" s="35" t="inlineStr">
        <is>
          <t>Auth: POST /auth/register, /auth/login (bcrypt, JWT), JwtAuthGuard, req.user = { sub, email }.</t>
        </is>
      </c>
      <c r="E9" s="35" t="inlineStr">
        <is>
          <t>backend/src/modules/auth/**</t>
        </is>
      </c>
      <c r="F9" s="35" t="inlineStr">
        <is>
          <t>Sai mật khẩu → 401; email trùng → 409; thiếu/hết hạn token → 401; không lưu plaintext password.</t>
        </is>
      </c>
      <c r="G9" s="35" t="inlineStr">
        <is>
          <t>Xong</t>
        </is>
      </c>
      <c r="H9" s="36" t="inlineStr">
        <is>
          <t>OK</t>
        </is>
      </c>
      <c r="I9" s="37" t="inlineStr">
        <is>
          <t>19/10/2026 11:29 (e316bfe)</t>
        </is>
      </c>
    </row>
    <row r="10" ht="48" customHeight="1" s="28">
      <c r="A10" s="35" t="inlineStr">
        <is>
          <t>GĐ1</t>
        </is>
      </c>
      <c r="B10" s="35" t="inlineStr">
        <is>
          <t>GD1-02</t>
        </is>
      </c>
      <c r="C10" s="35" t="inlineStr">
        <is>
          <t>Chiến</t>
        </is>
      </c>
      <c r="D10" s="35" t="inlineStr">
        <is>
          <t>Nền chung (làm NGÀY 1): sửa AllExceptionsFilter (không lộ lỗi nội bộ, Prisma P2002→409, P2025→404); migration OrderStatusHistory.fromStatus nullable; 1 endpoint /health; cài jest cho backend; đăng ký sẵn module trong app.module.ts; chốt chữ ký hàm chung (calculate / transition / validate).</t>
        </is>
      </c>
      <c r="E10" s="35" t="inlineStr">
        <is>
          <t>backend/prisma/schema.prisma, migrations, common/**, app.module.ts, main.ts</t>
        </is>
      </c>
      <c r="F10" s="35" t="inlineStr">
        <is>
          <t>`npm run build` + `npm test` chạy được trên máy sạch; mọi người pull và code tiếp không chờ nhau.</t>
        </is>
      </c>
      <c r="G10" s="35" t="inlineStr">
        <is>
          <t>Xong</t>
        </is>
      </c>
      <c r="H10" s="36" t="inlineStr">
        <is>
          <t>OK</t>
        </is>
      </c>
      <c r="I10" s="37" t="inlineStr">
        <is>
          <t>19/10/2026 11:23 (02d8e3c)</t>
        </is>
      </c>
    </row>
    <row r="11" ht="24" customHeight="1" s="28">
      <c r="A11" s="35" t="inlineStr">
        <is>
          <t>GĐ1</t>
        </is>
      </c>
      <c r="B11" s="35" t="inlineStr">
        <is>
          <t>GD1-03</t>
        </is>
      </c>
      <c r="C11" s="35" t="inlineStr">
        <is>
          <t>Lan</t>
        </is>
      </c>
      <c r="D11" s="35" t="inlineStr">
        <is>
          <t>Seed (làm NGÀY 1, merge sớm): ≥10 sản phẩm có ảnh, 3 topping, ≥2 mã khuyến mãi (giảm % có trần + giảm cố định, có mức tối thiểu), user demo, 1 sản phẩm tồn kho thấp.</t>
        </is>
      </c>
      <c r="E11" s="35" t="inlineStr">
        <is>
          <t>backend/prisma/seed.ts</t>
        </is>
      </c>
      <c r="F11" s="35" t="inlineStr">
        <is>
          <t>`prisma db seed` chạy 2 lần liên tiếp không lỗi.</t>
        </is>
      </c>
      <c r="G11" s="35" t="inlineStr">
        <is>
          <t>Xong</t>
        </is>
      </c>
      <c r="H11" s="36" t="inlineStr">
        <is>
          <t>OK</t>
        </is>
      </c>
      <c r="I11" s="37" t="inlineStr">
        <is>
          <t>19/10/2026 14:08 (365609f)</t>
        </is>
      </c>
    </row>
    <row r="12" ht="24" customHeight="1" s="28">
      <c r="A12" s="35" t="inlineStr">
        <is>
          <t>GĐ1</t>
        </is>
      </c>
      <c r="B12" s="35" t="inlineStr">
        <is>
          <t>GD1-04</t>
        </is>
      </c>
      <c r="C12" s="35" t="inlineStr">
        <is>
          <t>Lan</t>
        </is>
      </c>
      <c r="D12" s="35" t="inlineStr">
        <is>
          <t>GET /products bằng Prisma: chỉ sản phẩm đang bán, KHÔNG trả stock, rỗng trả [].</t>
        </is>
      </c>
      <c r="E12" s="35" t="inlineStr">
        <is>
          <t>modules/products/products.controller.ts, products.service.ts</t>
        </is>
      </c>
      <c r="F12" s="35" t="inlineStr">
        <is>
          <t>Khớp docs/product-catalog/api-contract; không lộ stock.</t>
        </is>
      </c>
      <c r="G12" s="35" t="inlineStr">
        <is>
          <t>Xong</t>
        </is>
      </c>
      <c r="H12" s="36" t="inlineStr">
        <is>
          <t>OK</t>
        </is>
      </c>
      <c r="I12" s="37" t="inlineStr">
        <is>
          <t>19/10/2026 14:08 (365609f)</t>
        </is>
      </c>
    </row>
    <row r="13" ht="36" customHeight="1" s="28">
      <c r="A13" s="35" t="inlineStr">
        <is>
          <t>GĐ1</t>
        </is>
      </c>
      <c r="B13" s="35" t="inlineStr">
        <is>
          <t>GD1-05</t>
        </is>
      </c>
      <c r="C13" s="35" t="inlineStr">
        <is>
          <t>Lan</t>
        </is>
      </c>
      <c r="D13" s="35" t="inlineStr">
        <is>
          <t>PromotionsService.validate(code, totalAmount) → { promotionId, discountAmount } hoặc 400 (hết hạn, chưa tới hạn, dưới mức tối thiểu, mã sai; không âm). LoyaltyService.award(tx, order): floor(finalAmount/1000) điểm, idempotent theo orderId.</t>
        </is>
      </c>
      <c r="E13" s="35" t="inlineStr">
        <is>
          <t>modules/promotions/**, modules/loyalty/**</t>
        </is>
      </c>
      <c r="F13" s="35" t="inlineStr">
        <is>
          <t>Gọi 2 lần chỉ cộng điểm 1 lần; giảm giá không làm finalAmount &lt; 0.</t>
        </is>
      </c>
      <c r="G13" s="35" t="inlineStr">
        <is>
          <t>Xong</t>
        </is>
      </c>
      <c r="H13" s="36" t="inlineStr">
        <is>
          <t>OK</t>
        </is>
      </c>
      <c r="I13" s="37" t="inlineStr">
        <is>
          <t>21/10/2026 01:50 (74fabdc)</t>
        </is>
      </c>
    </row>
    <row r="14" ht="24" customHeight="1" s="28">
      <c r="A14" s="35" t="inlineStr">
        <is>
          <t>GĐ1</t>
        </is>
      </c>
      <c r="B14" s="35" t="inlineStr">
        <is>
          <t>GD1-06</t>
        </is>
      </c>
      <c r="C14" s="35" t="inlineStr">
        <is>
          <t>Vũ Huy</t>
        </is>
      </c>
      <c r="D14" s="35" t="inlineStr">
        <is>
          <t>PricingService.calculate (nguồn giá duy nhất: unitPrice, lineTotal) + GET /products/:id (giá theo size, topping đang bán, 404, cờ hết hàng).</t>
        </is>
      </c>
      <c r="E14" s="35" t="inlineStr">
        <is>
          <t>modules/pricing/**, modules/products/product-detail.*</t>
        </is>
      </c>
      <c r="F14" s="35" t="inlineStr">
        <is>
          <t>Ví dụ giá S/M/L × 0–3 topping khớp docs; id sai → 404.</t>
        </is>
      </c>
      <c r="G14" s="35" t="inlineStr">
        <is>
          <t>Xong</t>
        </is>
      </c>
      <c r="H14" s="36" t="inlineStr">
        <is>
          <t>OK</t>
        </is>
      </c>
      <c r="I14" s="37" t="inlineStr">
        <is>
          <t>19/10/2026 21:50 (d51541c)</t>
        </is>
      </c>
    </row>
    <row r="15" ht="36" customHeight="1" s="28">
      <c r="A15" s="35" t="inlineStr">
        <is>
          <t>GĐ1</t>
        </is>
      </c>
      <c r="B15" s="35" t="inlineStr">
        <is>
          <t>GD1-07</t>
        </is>
      </c>
      <c r="C15" s="35" t="inlineStr">
        <is>
          <t>Vũ Huy</t>
        </is>
      </c>
      <c r="D15" s="35" t="inlineStr">
        <is>
          <t>POST /orders/:id/cancel: chỉ chủ đơn (khác chủ → 404); chỉ từ PENDING/PAYMENT_FAILED (còn lại → 409); hoàn kho Product + Topping trong cùng transaction; gọi OrderService.transition().</t>
        </is>
      </c>
      <c r="E15" s="35" t="inlineStr">
        <is>
          <t>modules/orders/cancel/**</t>
        </is>
      </c>
      <c r="F15" s="35" t="inlineStr">
        <is>
          <t>Hủy 2 lần → 409; tồn kho trở lại đúng.</t>
        </is>
      </c>
      <c r="G15" s="35" t="inlineStr">
        <is>
          <t>Xong</t>
        </is>
      </c>
      <c r="H15" s="36" t="inlineStr">
        <is>
          <t>OK</t>
        </is>
      </c>
      <c r="I15" s="37" t="inlineStr">
        <is>
          <t>20/10/2026 15:13 (d25822c)</t>
        </is>
      </c>
    </row>
    <row r="16" ht="36" customHeight="1" s="28">
      <c r="A16" s="35" t="inlineStr">
        <is>
          <t>GĐ1</t>
        </is>
      </c>
      <c r="B16" s="35" t="inlineStr">
        <is>
          <t>GD1-08</t>
        </is>
      </c>
      <c r="C16" s="35" t="inlineStr">
        <is>
          <t>Hạnh</t>
        </is>
      </c>
      <c r="D16" s="35" t="inlineStr">
        <is>
          <t>OrderService.transition() = chỗ DUY NHẤT ghi Order.status (assertTransition theo 9 chuyển tiếp, cập nhật có điều kiện theo version, ghi OrderStatusHistory). Push stub chữ ký lên ngày 1 để Kiệt / Vũ Huy gọi được.</t>
        </is>
      </c>
      <c r="E16" s="35" t="inlineStr">
        <is>
          <t>modules/orders/order.service.ts, order-state.ts</t>
        </is>
      </c>
      <c r="F16" s="35" t="inlineStr">
        <is>
          <t>Chuyển sai → 409; COMPLETED/CANCELLED không đi tiếp.</t>
        </is>
      </c>
      <c r="G16" s="35" t="inlineStr">
        <is>
          <t>Xong</t>
        </is>
      </c>
      <c r="H16" s="36" t="inlineStr">
        <is>
          <t>OK</t>
        </is>
      </c>
      <c r="I16" s="37" t="inlineStr">
        <is>
          <t>20/10/2026 07:05 (713effd)</t>
        </is>
      </c>
    </row>
    <row r="17" ht="48" customHeight="1" s="28">
      <c r="A17" s="35" t="inlineStr">
        <is>
          <t>GĐ1</t>
        </is>
      </c>
      <c r="B17" s="35" t="inlineStr">
        <is>
          <t>GD1-09</t>
        </is>
      </c>
      <c r="C17" s="35" t="inlineStr">
        <is>
          <t>Hạnh</t>
        </is>
      </c>
      <c r="D17" s="35" t="inlineStr">
        <is>
          <t>POST /orders: JwtAuthGuard, DTO validate (items không rỗng, quantity 1..99, topping ≤3 không trùng, promotionCode tùy chọn, không nhận userId), dùng PricingService + PromotionsService, transaction: trừ kho Product (optimistic lock theo version) + Topping (stock &gt;= quantity), tạo Order PENDING + OrderItem + lịch sử.</t>
        </is>
      </c>
      <c r="E17" s="35" t="inlineStr">
        <is>
          <t>modules/orders/** (trừ cancel, history)</t>
        </is>
      </c>
      <c r="F17" s="35" t="inlineStr">
        <is>
          <t>Server tự tính tiền; lỗi giữa chừng → rollback; hết hàng → 400; trả mã đơn.</t>
        </is>
      </c>
      <c r="G17" s="35" t="inlineStr">
        <is>
          <t>Xong</t>
        </is>
      </c>
      <c r="H17" s="36" t="inlineStr">
        <is>
          <t>OK</t>
        </is>
      </c>
      <c r="I17" s="37" t="inlineStr">
        <is>
          <t>20/10/2026 07:05 (713effd)</t>
        </is>
      </c>
    </row>
    <row r="18" ht="60" customHeight="1" s="28">
      <c r="A18" s="35" t="inlineStr">
        <is>
          <t>GĐ1</t>
        </is>
      </c>
      <c r="B18" s="35" t="inlineStr">
        <is>
          <t>GD1-10</t>
        </is>
      </c>
      <c r="C18" s="35" t="inlineStr">
        <is>
          <t>Kiệt</t>
        </is>
      </c>
      <c r="D18" s="35" t="inlineStr">
        <is>
          <t>MockGateway (X-Mock-Outcome chỉ đọc khi NODE_ENV ≠ production) + POST /payments: header Idempotency-Key bắt buộc, body { orderId, method }; chủ đơn (404), trạng thái PENDING/PAYMENT_FAILED (409); thành công → PAID + cộng điểm (LoyaltyService.award); lỗi → PAYMENT_FAILED; thử lại bằng key mới; cùng key cùng nội dung → trả kết quả cũ; cùng key khác nội dung → 409.</t>
        </is>
      </c>
      <c r="E18" s="35" t="inlineStr">
        <is>
          <t>modules/payments/**</t>
        </is>
      </c>
      <c r="F18" s="35" t="inlineStr">
        <is>
          <t>Replay không tạo Payment mới; không 500 khi trùng key; chỉ gọi transition() để đổi trạng thái.</t>
        </is>
      </c>
      <c r="G18" s="35" t="inlineStr">
        <is>
          <t>Xong</t>
        </is>
      </c>
      <c r="H18" s="36" t="inlineStr">
        <is>
          <t>OK</t>
        </is>
      </c>
      <c r="I18" s="37" t="inlineStr">
        <is>
          <t>22/10/2026 00:10 (2515e1a)</t>
        </is>
      </c>
    </row>
    <row r="19" ht="24" customHeight="1" s="28">
      <c r="A19" s="35" t="inlineStr">
        <is>
          <t>GĐ1</t>
        </is>
      </c>
      <c r="B19" s="35" t="inlineStr">
        <is>
          <t>GD1-11</t>
        </is>
      </c>
      <c r="C19" s="35" t="inlineStr">
        <is>
          <t>Quang Huy</t>
        </is>
      </c>
      <c r="D19" s="35" t="inlineStr">
        <is>
          <t>GET /orders/me: lọc theo req.user.sub, mới nhất trước, phân trang, kèm items + trạng thái thanh toán.</t>
        </is>
      </c>
      <c r="E19" s="35" t="inlineStr">
        <is>
          <t>modules/orders/history/**</t>
        </is>
      </c>
      <c r="F19" s="35" t="inlineStr">
        <is>
          <t>User A không đọc được đơn của user B.</t>
        </is>
      </c>
      <c r="G19" s="35" t="inlineStr">
        <is>
          <t>Xong</t>
        </is>
      </c>
      <c r="H19" s="36" t="inlineStr">
        <is>
          <t>OK</t>
        </is>
      </c>
      <c r="I19" s="37" t="inlineStr">
        <is>
          <t>23/10/2026 09:36 (d7bb5bf)</t>
        </is>
      </c>
    </row>
    <row r="20" ht="24" customHeight="1" s="28">
      <c r="A20" s="35" t="inlineStr">
        <is>
          <t>GĐ1</t>
        </is>
      </c>
      <c r="B20" s="35" t="inlineStr">
        <is>
          <t>GD1-12</t>
        </is>
      </c>
      <c r="C20" s="35" t="inlineStr">
        <is>
          <t>Hào</t>
        </is>
      </c>
      <c r="D20" s="35" t="inlineStr">
        <is>
          <t>Script bắn N request song song POST /orders (dùng cho test (c)) + curl thử luồng Orders/Payments của Hạnh, Kiệt và báo lỗi cho đúng owner.</t>
        </is>
      </c>
      <c r="E20" s="35" t="inlineStr">
        <is>
          <t>backend/test/helpers/**</t>
        </is>
      </c>
      <c r="F20" s="35" t="inlineStr">
        <is>
          <t>1 lệnh chạy được; in số đơn thành công/thất bại và tồn kho cuối.</t>
        </is>
      </c>
      <c r="G20" s="35" t="inlineStr">
        <is>
          <t>Xong</t>
        </is>
      </c>
      <c r="H20" s="36" t="inlineStr">
        <is>
          <t>OK</t>
        </is>
      </c>
      <c r="I20" s="37" t="inlineStr">
        <is>
          <t>22/10/2026 20:37 (1fe259f)</t>
        </is>
      </c>
    </row>
    <row r="21" ht="14.25" customHeight="1" s="28">
      <c r="A21" s="38" t="inlineStr">
        <is>
          <t>GIAI ĐOẠN 2 — FRONTEND (song song; nối API thật; mọi màn dùng tốt ở 375px, có loading / empty / error)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</row>
    <row r="22" ht="26.25" customHeight="1" s="28">
      <c r="A22" s="35" t="inlineStr">
        <is>
          <t>GĐ2</t>
        </is>
      </c>
      <c r="B22" s="35" t="inlineStr">
        <is>
          <t>GD2-01</t>
        </is>
      </c>
      <c r="C22" s="35" t="inlineStr">
        <is>
          <t>Chiến</t>
        </is>
      </c>
      <c r="D22" s="35" t="inlineStr">
        <is>
          <t>FE Đăng nhập &amp; Đăng ký: form nhập auth, api-client gắn token Bearer, xử lý route guard bảo vệ các trang /checkout và /orders.</t>
        </is>
      </c>
      <c r="E22" s="35" t="inlineStr">
        <is>
          <t>frontend/src/app/auth/**, lib/api-client.ts, hooks/useRequireAuth.ts</t>
        </is>
      </c>
      <c r="F22" s="35" t="inlineStr">
        <is>
          <t>Giao diện tương tác được; đăng ký/đăng nhập thành công và lưu token; lỗi 401 tự chuyển hướng về login; route guard hoạt động.</t>
        </is>
      </c>
      <c r="G22" s="35" t="inlineStr">
        <is>
          <t>Xong</t>
        </is>
      </c>
      <c r="H22" s="36" t="inlineStr">
        <is>
          <t>OK</t>
        </is>
      </c>
      <c r="I22" s="37" t="inlineStr">
        <is>
          <t>23/10/2026 16:55 (205a59b)</t>
        </is>
      </c>
    </row>
    <row r="23" ht="26.25" customHeight="1" s="28">
      <c r="A23" s="35" t="inlineStr">
        <is>
          <t>GĐ2</t>
        </is>
      </c>
      <c r="B23" s="35" t="inlineStr">
        <is>
          <t>GD2-02</t>
        </is>
      </c>
      <c r="C23" s="35" t="inlineStr">
        <is>
          <t>Quang Huy</t>
        </is>
      </c>
      <c r="D23" s="35" t="inlineStr">
        <is>
          <t>FE AppShell &amp; Điều hướng chung: khung layout, BottomNav 3 tab (Menu, Giỏ có badge số lượng, Đơn hàng), tối ưu giao diện mobile 375px.</t>
        </is>
      </c>
      <c r="E23" s="35" t="inlineStr">
        <is>
          <t>frontend/src/components/shell/**, app/layout.tsx, app/globals.css</t>
        </is>
      </c>
      <c r="F23" s="35" t="inlineStr">
        <is>
          <t>Giao diện tương tác được; thanh BottomNav chuyển trang mượt; badge số lượng giỏ cập nhật tức thì; hiển thị chuẩn 360–430px.</t>
        </is>
      </c>
      <c r="G23" s="35" t="inlineStr">
        <is>
          <t>Xong</t>
        </is>
      </c>
      <c r="H23" s="36" t="inlineStr">
        <is>
          <t>OK</t>
        </is>
      </c>
      <c r="I23" s="37" t="inlineStr">
        <is>
          <t>23/10/2026 16:54 (592d477)</t>
        </is>
      </c>
    </row>
    <row r="24" ht="26.25" customHeight="1" s="28">
      <c r="A24" s="35" t="inlineStr">
        <is>
          <t>GĐ2</t>
        </is>
      </c>
      <c r="B24" s="35" t="inlineStr">
        <is>
          <t>GD2-03</t>
        </is>
      </c>
      <c r="C24" s="35" t="inlineStr">
        <is>
          <t>Quang Huy</t>
        </is>
      </c>
      <c r="D24" s="35" t="inlineStr">
        <is>
          <t>FE Lịch sử &amp; Chi tiết đơn hàng: trang /orders tải danh sách đơn từ API, màn xác nhận /orders/[id], hiển thị đúng 7 nhãn trạng thái và điểm tích lũy.</t>
        </is>
      </c>
      <c r="E24" s="35" t="inlineStr">
        <is>
          <t>frontend/src/app/orders/**, services/order.service.ts</t>
        </is>
      </c>
      <c r="F24" s="35" t="inlineStr">
        <is>
          <t>Giao diện tương tác được; xem được lịch sử đơn; xem chi tiết từng đơn hiển thị đầy đủ món, tổng tiền, điểm thưởng và trạng thái tiếng Việt.</t>
        </is>
      </c>
      <c r="G24" s="35" t="inlineStr">
        <is>
          <t>Xong</t>
        </is>
      </c>
      <c r="H24" s="36" t="inlineStr">
        <is>
          <t>OK</t>
        </is>
      </c>
      <c r="I24" s="37" t="inlineStr">
        <is>
          <t>23/10/2026 16:56 (629c021)</t>
        </is>
      </c>
    </row>
    <row r="25" ht="26.25" customHeight="1" s="28">
      <c r="A25" s="35" t="inlineStr">
        <is>
          <t>GĐ2</t>
        </is>
      </c>
      <c r="B25" s="35" t="inlineStr">
        <is>
          <t>GD2-04</t>
        </is>
      </c>
      <c r="C25" s="35" t="inlineStr">
        <is>
          <t>Lan</t>
        </is>
      </c>
      <c r="D25" s="35" t="inlineStr">
        <is>
          <t>FE Trang Menu sản phẩm: lưới thực đơn 2 cột, ProductCard hiển thị ảnh + fallback, tên món, giá bán, đủ các trạng thái loading/empty/error.</t>
        </is>
      </c>
      <c r="E25" s="35" t="inlineStr">
        <is>
          <t>frontend/src/app/menu/**, components/menu/**, components/ui/ProductImage.tsx</t>
        </is>
      </c>
      <c r="F25" s="35" t="inlineStr">
        <is>
          <t>Giao diện tương tác được; tải danh sách sản phẩm từ API; click vào món chuyển đúng sang trang chi tiết; ảnh lỗi tự hiển thị ảnh mặc định.</t>
        </is>
      </c>
      <c r="G25" s="35" t="inlineStr">
        <is>
          <t>Xong</t>
        </is>
      </c>
      <c r="H25" s="36" t="inlineStr">
        <is>
          <t>OK</t>
        </is>
      </c>
      <c r="I25" s="37" t="inlineStr">
        <is>
          <t>23/10/2026 16:55 (7f86721)</t>
        </is>
      </c>
    </row>
    <row r="26" ht="26.25" customHeight="1" s="28">
      <c r="A26" s="35" t="inlineStr">
        <is>
          <t>GĐ2</t>
        </is>
      </c>
      <c r="B26" s="35" t="inlineStr">
        <is>
          <t>GD2-05</t>
        </is>
      </c>
      <c r="C26" s="35" t="inlineStr">
        <is>
          <t>Lan</t>
        </is>
      </c>
      <c r="D26" s="35" t="inlineStr">
        <is>
          <t>FE Áp dụng mã khuyến mãi (Voucher): ô nhập mã voucher ở giỏ/checkout, gọi kiểm tra mã, hiển thị số tiền giảm và tính lại tổng thanh toán.</t>
        </is>
      </c>
      <c r="E26" s="35" t="inlineStr">
        <is>
          <t>frontend/src/app/cart/page.tsx, app/checkout/page.tsx</t>
        </is>
      </c>
      <c r="F26" s="35" t="inlineStr">
        <is>
          <t>Giao diện tương tác được; nhập mã hợp lệ giảm đúng số tiền; nhập mã sai báo lỗi rõ ràng và giữ nguyên trạng thái giỏ hàng.</t>
        </is>
      </c>
      <c r="G26" s="35" t="inlineStr">
        <is>
          <t>Xong</t>
        </is>
      </c>
      <c r="H26" s="36" t="inlineStr">
        <is>
          <t>OK</t>
        </is>
      </c>
      <c r="I26" s="37" t="inlineStr">
        <is>
          <t>23/10/2026 16:55 (f6cf3ea)</t>
        </is>
      </c>
    </row>
    <row r="27" ht="26.25" customHeight="1" s="28">
      <c r="A27" s="35" t="inlineStr">
        <is>
          <t>GĐ2</t>
        </is>
      </c>
      <c r="B27" s="35" t="inlineStr">
        <is>
          <t>GD2-06</t>
        </is>
      </c>
      <c r="C27" s="35" t="inlineStr">
        <is>
          <t>Vũ Huy</t>
        </is>
      </c>
      <c r="D27" s="35" t="inlineStr">
        <is>
          <t>FE Chi tiết món &amp; Tùy chọn: trang /products/[id], bộ chọn Size (S/M/L), chọn Topping (tối đa 3 loại), tăng/giảm số lượng 1..99, tự động tính giá tạm tính.</t>
        </is>
      </c>
      <c r="E27" s="35" t="inlineStr">
        <is>
          <t>frontend/src/app/products/[id]/**, components/product-detail/**</t>
        </is>
      </c>
      <c r="F27" s="35" t="inlineStr">
        <is>
          <t>Giao diện tương tác được; đổi size/topping giá cập nhật ngay; không cho chọn quá 3 topping; nút Thêm vào giỏ hoạt động chuẩn xác.</t>
        </is>
      </c>
      <c r="G27" s="35" t="inlineStr">
        <is>
          <t>Xong</t>
        </is>
      </c>
      <c r="H27" s="36" t="inlineStr">
        <is>
          <t>OK</t>
        </is>
      </c>
      <c r="I27" s="37" t="inlineStr">
        <is>
          <t>23/10/2026 16:55 (7f86721)</t>
        </is>
      </c>
    </row>
    <row r="28" ht="39" customHeight="1" s="28">
      <c r="A28" s="35" t="inlineStr">
        <is>
          <t>GĐ2</t>
        </is>
      </c>
      <c r="B28" s="35" t="inlineStr">
        <is>
          <t>GD2-07</t>
        </is>
      </c>
      <c r="C28" s="35" t="inlineStr">
        <is>
          <t>Hào</t>
        </is>
      </c>
      <c r="D28" s="35" t="inlineStr">
        <is>
          <t>FE Quản lý giỏ hàng (Cart State &amp; UI): store Zustand lưu giỏ hàng vào LocalStorage, tự gộp dòng khi trùng cấu hình, trang giỏ hàng /cart.</t>
        </is>
      </c>
      <c r="E28" s="35" t="inlineStr">
        <is>
          <t>frontend/src/store/useCartStore.ts, app/cart/**</t>
        </is>
      </c>
      <c r="F28" s="35" t="inlineStr">
        <is>
          <t>Giao diện tương tác được; thêm món vào giỏ cập nhật ngay; reload trang vẫn giữ nguyên giỏ hàng; giỏ rỗng tự disable nút thanh toán.</t>
        </is>
      </c>
      <c r="G28" s="35" t="inlineStr">
        <is>
          <t>Xong</t>
        </is>
      </c>
      <c r="H28" s="36" t="inlineStr">
        <is>
          <t>OK</t>
        </is>
      </c>
      <c r="I28" s="37" t="inlineStr">
        <is>
          <t>23/10/2026 16:55 (7f86721)</t>
        </is>
      </c>
    </row>
    <row r="29" ht="26.25" customHeight="1" s="28">
      <c r="A29" s="35" t="inlineStr">
        <is>
          <t>GĐ2</t>
        </is>
      </c>
      <c r="B29" s="35" t="inlineStr">
        <is>
          <t>GD2-08</t>
        </is>
      </c>
      <c r="C29" s="35" t="inlineStr">
        <is>
          <t>Hạnh</t>
        </is>
      </c>
      <c r="D29" s="35" t="inlineStr">
        <is>
          <t>FE Xác nhận đơn hàng &amp; Tạo đơn: trang /checkout tóm tắt giỏ, gửi POST /orders tạo đơn PENDING, lưu pendingOrderId, chặn bấm đúp đặt hàng.</t>
        </is>
      </c>
      <c r="E29" s="35" t="inlineStr">
        <is>
          <t>frontend/src/app/checkout/page.tsx, services/order.service.ts</t>
        </is>
      </c>
      <c r="F29" s="35" t="inlineStr">
        <is>
          <t>Giao diện tương tác được; bấm Đặt hàng tạo đơn thành công và chuyển sang thanh toán; không mất giỏ khi lỗi mạng; chặn bấm đúp.</t>
        </is>
      </c>
      <c r="G29" s="35" t="inlineStr">
        <is>
          <t>Xong</t>
        </is>
      </c>
      <c r="H29" s="36" t="inlineStr">
        <is>
          <t>OK</t>
        </is>
      </c>
      <c r="I29" s="37" t="inlineStr">
        <is>
          <t>23/10/2026 16:55 (f6cf3ea)</t>
        </is>
      </c>
    </row>
    <row r="30" ht="39" customHeight="1" s="28">
      <c r="A30" s="35" t="inlineStr">
        <is>
          <t>GĐ2</t>
        </is>
      </c>
      <c r="B30" s="35" t="inlineStr">
        <is>
          <t>GD2-09</t>
        </is>
      </c>
      <c r="C30" s="35" t="inlineStr">
        <is>
          <t>Kiệt</t>
        </is>
      </c>
      <c r="D30" s="35" t="inlineStr">
        <is>
          <t>FE Thanh toán không tiền mặt: màn /checkout/payment chọn Ví/Thẻ, tự tạo Idempotency-Key mới, modal Mock Gateway test thành công/thất bại, retry khi lỗi.</t>
        </is>
      </c>
      <c r="E30" s="35" t="inlineStr">
        <is>
          <t>frontend/src/app/checkout/payment/**, components/checkout/MockGatewayModal.tsx</t>
        </is>
      </c>
      <c r="F30" s="35" t="inlineStr">
        <is>
          <t>Giao diện tương tác được; thanh toán thành công tự xóa giỏ và sang xác nhận đơn; thanh toán thất bại giữ nguyên giỏ và cho phép thử lại.</t>
        </is>
      </c>
      <c r="G30" s="35" t="inlineStr">
        <is>
          <t>Xong</t>
        </is>
      </c>
      <c r="H30" s="36" t="inlineStr">
        <is>
          <t>OK</t>
        </is>
      </c>
      <c r="I30" s="37" t="inlineStr">
        <is>
          <t>23/10/2026 17:59 (56462ea)</t>
        </is>
      </c>
    </row>
    <row r="31" ht="14.25" customHeight="1" s="28">
      <c r="A31" s="39" t="inlineStr">
        <is>
          <t>GIAI ĐOẠN 3 — TÍCH HỢP + BÀN GIAO</t>
        </is>
      </c>
      <c r="B31" s="39" t="n"/>
      <c r="C31" s="39" t="n"/>
      <c r="D31" s="39" t="n"/>
      <c r="E31" s="39" t="n"/>
      <c r="F31" s="39" t="n"/>
      <c r="G31" s="39" t="n"/>
      <c r="H31" s="40" t="n"/>
      <c r="I31" s="40" t="n"/>
    </row>
    <row r="32" ht="15" customHeight="1" s="28">
      <c r="A32" s="35" t="inlineStr">
        <is>
          <t>GĐ3</t>
        </is>
      </c>
      <c r="B32" s="35" t="n"/>
      <c r="C32" s="35" t="n"/>
      <c r="D32" s="35" t="n"/>
      <c r="E32" s="35" t="n"/>
      <c r="F32" s="35" t="n"/>
      <c r="G32" s="35" t="n"/>
      <c r="H32" s="41" t="n"/>
      <c r="I32" s="41" t="n"/>
    </row>
    <row r="33" ht="15" customHeight="1" s="28">
      <c r="A33" s="35" t="inlineStr">
        <is>
          <t>GĐ3</t>
        </is>
      </c>
      <c r="B33" s="35" t="n"/>
      <c r="C33" s="35" t="n"/>
      <c r="D33" s="35" t="n"/>
      <c r="E33" s="35" t="n"/>
      <c r="F33" s="35" t="n"/>
      <c r="G33" s="35" t="n"/>
      <c r="H33" s="41" t="n"/>
      <c r="I33" s="41" t="n"/>
    </row>
    <row r="34" ht="15" customHeight="1" s="28">
      <c r="A34" s="35" t="inlineStr">
        <is>
          <t>GĐ3</t>
        </is>
      </c>
      <c r="B34" s="35" t="n"/>
      <c r="C34" s="35" t="n"/>
      <c r="D34" s="35" t="n"/>
      <c r="E34" s="35" t="n"/>
      <c r="F34" s="35" t="n"/>
      <c r="G34" s="35" t="n"/>
      <c r="H34" s="41" t="n"/>
      <c r="I34" s="41" t="n"/>
    </row>
    <row r="35" ht="15" customHeight="1" s="28">
      <c r="A35" s="35" t="inlineStr">
        <is>
          <t>GĐ3</t>
        </is>
      </c>
      <c r="B35" s="35" t="n"/>
      <c r="C35" s="35" t="n"/>
      <c r="D35" s="35" t="n"/>
      <c r="E35" s="35" t="n"/>
      <c r="F35" s="35" t="n"/>
      <c r="G35" s="35" t="n"/>
      <c r="H35" s="41" t="n"/>
      <c r="I35" s="41" t="n"/>
    </row>
    <row r="36" ht="15" customHeight="1" s="28">
      <c r="A36" s="35" t="inlineStr">
        <is>
          <t>GĐ3</t>
        </is>
      </c>
      <c r="B36" s="35" t="n"/>
      <c r="C36" s="35" t="n"/>
      <c r="D36" s="35" t="n"/>
      <c r="E36" s="35" t="n"/>
      <c r="F36" s="35" t="n"/>
      <c r="G36" s="35" t="n"/>
      <c r="H36" s="41" t="n"/>
      <c r="I36" s="41" t="n"/>
    </row>
    <row r="37" ht="15" customHeight="1" s="28">
      <c r="A37" s="35" t="inlineStr">
        <is>
          <t>GĐ3</t>
        </is>
      </c>
      <c r="B37" s="35" t="n"/>
      <c r="C37" s="35" t="n"/>
      <c r="D37" s="35" t="n"/>
      <c r="E37" s="35" t="n"/>
      <c r="F37" s="35" t="n"/>
      <c r="G37" s="35" t="n"/>
      <c r="H37" s="41" t="n"/>
      <c r="I37" s="41" t="n"/>
    </row>
    <row r="38" ht="15" customHeight="1" s="28">
      <c r="A38" s="35" t="inlineStr">
        <is>
          <t>GĐ3</t>
        </is>
      </c>
      <c r="B38" s="35" t="n"/>
      <c r="C38" s="35" t="n"/>
      <c r="D38" s="35" t="n"/>
      <c r="E38" s="35" t="n"/>
      <c r="F38" s="35" t="n"/>
      <c r="G38" s="35" t="n"/>
      <c r="H38" s="41" t="n"/>
      <c r="I38" s="41" t="n"/>
    </row>
    <row r="39" ht="15" customHeight="1" s="28">
      <c r="A39" s="35" t="inlineStr">
        <is>
          <t>GĐ3</t>
        </is>
      </c>
      <c r="B39" s="35" t="n"/>
      <c r="C39" s="35" t="n"/>
      <c r="D39" s="35" t="n"/>
      <c r="E39" s="35" t="n"/>
      <c r="F39" s="35" t="n"/>
      <c r="G39" s="35" t="n"/>
      <c r="H39" s="41" t="n"/>
      <c r="I39" s="41" t="n"/>
    </row>
  </sheetData>
  <conditionalFormatting sqref="G7:G39 H7:I8 H21:I21">
    <cfRule type="cellIs" rank="0" priority="2" equalAverage="0" operator="equal" aboveAverage="0" dxfId="0" text="" percent="0" bottom="0">
      <formula>"Xong"</formula>
    </cfRule>
    <cfRule type="cellIs" rank="0" priority="3" equalAverage="0" operator="equal" aboveAverage="0" dxfId="1" text="" percent="0" bottom="0">
      <formula>"Đang làm"</formula>
    </cfRule>
  </conditionalFormatting>
  <dataValidations count="1">
    <dataValidation sqref="G9:G20 G22:G30 G32:G39" showDropDown="0" showInputMessage="0" showErrorMessage="0" allowBlank="0" type="list" errorStyle="stop" operator="between">
      <formula1>"Chưa làm,Đang làm,Xong"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8.66796875" defaultRowHeight="14.25" zeroHeight="0" outlineLevelRow="0"/>
  <cols>
    <col width="6" customWidth="1" style="27" min="1" max="1"/>
    <col width="120" customWidth="1" style="27" min="2" max="2"/>
    <col width="13" customWidth="1" style="28" min="3" max="3"/>
  </cols>
  <sheetData>
    <row r="1" ht="17.25" customHeight="1" s="28">
      <c r="A1" s="29" t="n"/>
    </row>
    <row r="3" ht="14.25" customHeight="1" s="28">
      <c r="A3" s="31" t="inlineStr">
        <is>
          <t>Quy tắc</t>
        </is>
      </c>
    </row>
    <row r="4" ht="26.25" customHeight="1" s="28">
      <c r="A4" s="41" t="n">
        <v>1</v>
      </c>
      <c r="B4" s="42" t="inlineStr">
        <is>
          <t>Mỗi người chỉ sửa thư mục module của mình. File dùng chung (schema.prisma, app.module.ts, main.ts, common/**, layout.tsx, api-client.ts) chỉ Chiến sửa; seed.ts do Lan; components/shell + globals.css do Quang Huy trong GĐ2.</t>
        </is>
      </c>
    </row>
    <row r="5" ht="14.25" customHeight="1" s="28">
      <c r="A5" s="41" t="n">
        <v>2</v>
      </c>
      <c r="B5" s="42" t="inlineStr">
        <is>
          <t>Không đổi contract trong docs/ mà chưa báo Chiến. Docs là nguồn sự thật cho agent code.</t>
        </is>
      </c>
    </row>
    <row r="6" ht="14.25" customHeight="1" s="28">
      <c r="A6" s="41" t="n">
        <v>3</v>
      </c>
      <c r="B6" s="42" t="inlineStr">
        <is>
          <t>Giá và tổng tiền do backend tính (PricingService); FE chỉ hiển thị. Chỉ OrderService.transition() được ghi Order.status.</t>
        </is>
      </c>
    </row>
    <row r="7" ht="14.25" customHeight="1" s="28">
      <c r="A7" s="41" t="n">
        <v>4</v>
      </c>
      <c r="B7" s="42" t="inlineStr">
        <is>
          <t>Giỏ hàng chỉ bị xóa khi thanh toán thành công (đơn PAID); mọi lỗi tạo đơn / thanh toán giữ nguyên giỏ.</t>
        </is>
      </c>
    </row>
    <row r="8" ht="14.25" customHeight="1" s="28">
      <c r="A8" s="41" t="n">
        <v>5</v>
      </c>
      <c r="B8" s="42" t="inlineStr">
        <is>
          <t>Mỗi PR vào develop có ít nhất 1 người khác review; không commit thẳng vào main; commit message rõ ràng.</t>
        </is>
      </c>
    </row>
    <row r="9" ht="14.25" customHeight="1" s="28">
      <c r="A9" s="41" t="n">
        <v>6</v>
      </c>
      <c r="B9" s="42" t="inlineStr">
        <is>
          <t>Cuối GĐ1: mỗi người có request curl (hoặc file .http) chạy được cho mọi endpoint của mình trước khi sang GĐ2.</t>
        </is>
      </c>
    </row>
    <row r="10" ht="14.25" customHeight="1" s="28">
      <c r="A10" s="41" t="n">
        <v>7</v>
      </c>
      <c r="B10" s="42" t="inlineStr">
        <is>
          <t>Chỉ viết test cho Task 10 — (a), (b), (c) ở GĐ3. Không viết test FE, không Playwright, không CI.</t>
        </is>
      </c>
    </row>
    <row r="11" ht="14.25" customHeight="1" s="28">
      <c r="A11" s="41" t="n">
        <v>8</v>
      </c>
      <c r="B11" s="42" t="inlineStr">
        <is>
          <t>Không có secret trong repo; .env chỉ có .env.example.</t>
        </is>
      </c>
    </row>
    <row r="13" ht="14.25" customHeight="1" s="28">
      <c r="A13" s="31" t="inlineStr">
        <is>
          <t>Quyết định thiết kế (đã áp dụng trong docs)</t>
        </is>
      </c>
    </row>
    <row r="14" ht="14.25" customHeight="1" s="28">
      <c r="A14" s="31" t="inlineStr">
        <is>
          <t>D1</t>
        </is>
      </c>
      <c r="B14" s="42" t="inlineStr">
        <is>
          <t>Thanh toán lỗi → PAYMENT_FAILED; thử lại PAYMENT_FAILED → PENDING bằng Idempotency-Key mới, không giới hạn lần.</t>
        </is>
      </c>
    </row>
    <row r="15" ht="14.25" customHeight="1" s="28">
      <c r="A15" s="31" t="inlineStr">
        <is>
          <t>D2</t>
        </is>
      </c>
      <c r="B15" s="42" t="inlineStr">
        <is>
          <t>Giỏ chỉ xóa sau PAID; giỏ lưu pendingOrderId; giỏ đổi thì hủy đơn cũ và tạo đơn mới.</t>
        </is>
      </c>
    </row>
    <row r="16" ht="14.25" customHeight="1" s="28">
      <c r="A16" s="31" t="inlineStr">
        <is>
          <t>D3</t>
        </is>
      </c>
      <c r="B16" s="43" t="inlineStr">
        <is>
          <t>GET /products/:id trả toàn bộ topping đang bán; tồn kho do nguyên liệu quản lý, trừ bằng cập nhật có điều kiện nguyên tử stock &gt;= quantity (Ingredient không dùng version); cột version chỉ còn dùng cho Order (chuyển trạng thái); Product.stock, Product.version, Topping.stock là DEPRECATED.</t>
        </is>
      </c>
    </row>
    <row r="17" ht="14.25" customHeight="1" s="28">
      <c r="A17" s="31" t="inlineStr">
        <is>
          <t>D4</t>
        </is>
      </c>
      <c r="B17" s="42" t="inlineStr">
        <is>
          <t>req.user = { sub, email, role }; POST /orders không nhận userId.</t>
        </is>
      </c>
    </row>
    <row r="18" ht="14.25" customHeight="1" s="28">
      <c r="A18" s="31" t="inlineStr">
        <is>
          <t>D5</t>
        </is>
      </c>
      <c r="B18" s="42" t="inlineStr">
        <is>
          <t>Số lượng mỗi dòng 1..99.</t>
        </is>
      </c>
    </row>
    <row r="19" ht="14.25" customHeight="1" s="28">
      <c r="A19" s="31" t="inlineStr">
        <is>
          <t>D6</t>
        </is>
      </c>
      <c r="B19" s="42" t="inlineStr">
        <is>
          <t>Giữ 9 chuyển tiếp theo đề (kể cả PAID → CANCELLED ở state machine); thêm POST /orders/:id/cancel; không scheduler.</t>
        </is>
      </c>
    </row>
    <row r="20" ht="14.25" customHeight="1" s="28">
      <c r="A20" s="31" t="inlineStr">
        <is>
          <t>D7</t>
        </is>
      </c>
      <c r="B20" s="42" t="inlineStr">
        <is>
          <t>promotionCode tùy chọn trong POST /orders; PromotionsService.validate tính giảm giá.</t>
        </is>
      </c>
    </row>
    <row r="21" ht="14.25" customHeight="1" s="28">
      <c r="A21" s="31" t="inlineStr">
        <is>
          <t>D8</t>
        </is>
      </c>
      <c r="B21" s="42" t="inlineStr">
        <is>
          <t>Mock gateway điều khiển bằng header X-Mock-Outcome (chỉ khi NODE_ENV ≠ production); công tắc demo ở FE.</t>
        </is>
      </c>
    </row>
    <row r="22" ht="14.25" customHeight="1" s="28">
      <c r="A22" s="31" t="inlineStr">
        <is>
          <t>D9</t>
        </is>
      </c>
      <c r="B22" s="42" t="inlineStr">
        <is>
          <t>1 điểm / 1.000đ finalAmount (làm tròn xuống), chỉ cộng điểm, idempotent theo đơn.</t>
        </is>
      </c>
    </row>
    <row r="23">
      <c r="A23" s="44" t="inlineStr">
        <is>
          <t>D10</t>
        </is>
      </c>
      <c r="B23" s="43" t="inlineStr">
        <is>
          <t>Trừ kho nguyên liệu bằng cập nhật có điều kiện nguyên tử stock &gt;= qty (tx.ingredient.updateMany); gom nhu cầu theo ingredientId và sắp xếp tăng dần trước khi trừ để chống deadlock. Ingredient không có cột version.</t>
        </is>
      </c>
    </row>
    <row r="24">
      <c r="A24" s="44" t="inlineStr">
        <is>
          <t>D11</t>
        </is>
      </c>
      <c r="B24" s="43" t="inlineStr">
        <is>
          <t>Định mức nguyên liệu dùng đơn vị chuẩn g, ml, piece, lưu kiểu số nguyên Int. Mỗi bậc size tăng ~30–50% so với bậc dưới, làm tròn số nguyên.</t>
        </is>
      </c>
    </row>
    <row r="25">
      <c r="A25" s="44" t="inlineStr">
        <is>
          <t>D12</t>
        </is>
      </c>
      <c r="B25" s="43" t="inlineStr">
        <is>
          <t>Hoãn hiển thị menu theo tồn kho nguyên liệu sang Giai đoạn 2. Giai đoạn 1 giữ nguyên GET /products, không lọc tồn kho nguyên liệu.</t>
        </is>
      </c>
    </row>
    <row r="26">
      <c r="A26" s="44" t="inlineStr">
        <is>
          <t>D13</t>
        </is>
      </c>
      <c r="B26" s="43" t="inlineStr">
        <is>
          <t>Giữ nguyên các trường Product.stock, Product.version, Topping.stock trong schema (đánh dấu DEPRECATED), không xóa cột ở Giai đoạn 1 để tránh xung đột ngược.</t>
        </is>
      </c>
    </row>
    <row r="27">
      <c r="A27" s="44" t="inlineStr">
        <is>
          <t>D14</t>
        </is>
      </c>
      <c r="B27" s="43" t="inlineStr">
        <is>
          <t>Hoãn kiểm tra giỏ hàng khả dụng sang Giai đoạn 2. Frontend giữ nguyên, không validate nguyên liệu tại client giỏ hàng.</t>
        </is>
      </c>
    </row>
    <row r="28">
      <c r="A28" s="44" t="inlineStr">
        <is>
          <t>D15</t>
        </is>
      </c>
      <c r="B28" s="43" t="inlineStr">
        <is>
          <t>Khi tạo đơn hàng (POST /orders), nếu dòng món thiếu bản ghi ProductRecipe cho (productId, size) thì trả HTTP 400 kèm message rõ ràng, không được coi là tiêu hao 0; kiểm tra trước khi trừ kho.</t>
        </is>
      </c>
    </row>
    <row r="29" ht="45" customHeight="1" s="28">
      <c r="A29" s="44" t="inlineStr">
        <is>
          <t>D16</t>
        </is>
      </c>
      <c r="B29" s="43" t="inlineStr">
        <is>
          <t>Thêm User.role (Role: CUSTOMER, ADMIN, BARISTA, mặc định CUSTOMER), đưa vào JWT payload và req.user; bảo vệ route bằng @Roles() + RolesGuard (trả 403 nếu thiếu quyền); client không gửi role khi đăng ký; đăng nhập ADMIN chuyển tới /admin.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4" activeCellId="0" sqref="B14"/>
    </sheetView>
  </sheetViews>
  <sheetFormatPr baseColWidth="8" defaultColWidth="8.66796875" defaultRowHeight="14.25" zeroHeight="0" outlineLevelRow="0"/>
  <cols>
    <col width="9" customWidth="1" style="27" min="1" max="1"/>
    <col width="36" customWidth="1" style="27" min="2" max="2"/>
    <col width="20" customWidth="1" style="27" min="3" max="3"/>
    <col width="42" customWidth="1" style="27" min="4" max="4"/>
    <col width="9" customWidth="1" style="27" min="5" max="5"/>
    <col width="12" customWidth="1" style="27" min="6" max="6"/>
  </cols>
  <sheetData>
    <row r="1" ht="17.25" customHeight="1" s="28">
      <c r="A1" s="29" t="inlineStr">
        <is>
          <t>ĐỐI CHIẾU 10 TASK CỦA ĐỀ</t>
        </is>
      </c>
    </row>
    <row r="3" ht="14.25" customHeight="1" s="28">
      <c r="A3" s="45" t="inlineStr">
        <is>
          <t>Task đề</t>
        </is>
      </c>
      <c r="B3" s="45" t="inlineStr">
        <is>
          <t>Tên task</t>
        </is>
      </c>
      <c r="C3" s="45" t="inlineStr">
        <is>
          <t>Owner chính</t>
        </is>
      </c>
      <c r="D3" s="45" t="inlineStr">
        <is>
          <t>Task trong sheet Phan_cong</t>
        </is>
      </c>
      <c r="E3" s="45" t="inlineStr">
        <is>
          <t>Số task</t>
        </is>
      </c>
      <c r="F3" s="45" t="inlineStr">
        <is>
          <t>Trạng thái</t>
        </is>
      </c>
    </row>
    <row r="4" ht="14.25" customHeight="1" s="28">
      <c r="A4" s="35" t="n">
        <v>1</v>
      </c>
      <c r="B4" s="35" t="inlineStr">
        <is>
          <t>Khởi tạo dự án và cấu trúc</t>
        </is>
      </c>
      <c r="C4" s="35" t="inlineStr">
        <is>
          <t>Chiến</t>
        </is>
      </c>
      <c r="D4" s="35" t="inlineStr">
        <is>
          <t>GD1-02, GD3-04</t>
        </is>
      </c>
      <c r="E4" s="35">
        <f>COUNTIF(Phan_cong!$B$7:$B$39,"GD1-02")+COUNTIF(Phan_cong!$B$7:$B$39,"GD3-04")</f>
        <v/>
      </c>
      <c r="F4" s="35">
        <f>IF(E4&gt;=(LEN(D4)-LEN(SUBSTITUTE(D4,",",""))+1),"Đã phủ","THIẾU")</f>
        <v/>
      </c>
    </row>
    <row r="5" ht="14.25" customHeight="1" s="28">
      <c r="A5" s="35" t="n">
        <v>2</v>
      </c>
      <c r="B5" s="35" t="inlineStr">
        <is>
          <t>API danh sách sản phẩm</t>
        </is>
      </c>
      <c r="C5" s="35" t="inlineStr">
        <is>
          <t>Lan</t>
        </is>
      </c>
      <c r="D5" s="35" t="inlineStr">
        <is>
          <t>GD1-03, GD1-04</t>
        </is>
      </c>
      <c r="E5" s="35">
        <f>COUNTIF(Phan_cong!$B$7:$B$39,"GD1-03")+COUNTIF(Phan_cong!$B$7:$B$39,"GD1-04")</f>
        <v/>
      </c>
      <c r="F5" s="35">
        <f>IF(E5&gt;=(LEN(D5)-LEN(SUBSTITUTE(D5,",",""))+1),"Đã phủ","THIẾU")</f>
        <v/>
      </c>
    </row>
    <row r="6" ht="14.25" customHeight="1" s="28">
      <c r="A6" s="35" t="n">
        <v>3</v>
      </c>
      <c r="B6" s="35" t="inlineStr">
        <is>
          <t>Trang Menu (Frontend)</t>
        </is>
      </c>
      <c r="C6" s="35" t="inlineStr">
        <is>
          <t>Lan</t>
        </is>
      </c>
      <c r="D6" s="35" t="inlineStr">
        <is>
          <t>GD2-04</t>
        </is>
      </c>
      <c r="E6" s="35">
        <f>COUNTIF(Phan_cong!$B$7:$B$39,"GD2-04")</f>
        <v/>
      </c>
      <c r="F6" s="35">
        <f>IF(E6&gt;=(LEN(D6)-LEN(SUBSTITUTE(D6,",",""))+1),"Đã phủ","THIẾU")</f>
        <v/>
      </c>
    </row>
    <row r="7" ht="14.25" customHeight="1" s="28">
      <c r="A7" s="35" t="n">
        <v>4</v>
      </c>
      <c r="B7" s="35" t="inlineStr">
        <is>
          <t>Chi tiết và tùy chọn sản phẩm</t>
        </is>
      </c>
      <c r="C7" s="35" t="inlineStr">
        <is>
          <t>Vũ Huy</t>
        </is>
      </c>
      <c r="D7" s="35" t="inlineStr">
        <is>
          <t>GD1-06, GD2-06</t>
        </is>
      </c>
      <c r="E7" s="35">
        <f>COUNTIF(Phan_cong!$B$7:$B$39,"GD1-06")+COUNTIF(Phan_cong!$B$7:$B$39,"GD2-06")</f>
        <v/>
      </c>
      <c r="F7" s="35">
        <f>IF(E7&gt;=(LEN(D7)-LEN(SUBSTITUTE(D7,",",""))+1),"Đã phủ","THIẾU")</f>
        <v/>
      </c>
    </row>
    <row r="8" ht="14.25" customHeight="1" s="28">
      <c r="A8" s="35" t="n">
        <v>5</v>
      </c>
      <c r="B8" s="35" t="inlineStr">
        <is>
          <t>Giỏ hàng (Cart)</t>
        </is>
      </c>
      <c r="C8" s="35" t="inlineStr">
        <is>
          <t>Hào</t>
        </is>
      </c>
      <c r="D8" s="35" t="inlineStr">
        <is>
          <t>GD2-07</t>
        </is>
      </c>
      <c r="E8" s="35">
        <f>COUNTIF(Phan_cong!$B$7:$B$39,"GD2-07")</f>
        <v/>
      </c>
      <c r="F8" s="35">
        <f>IF(E8&gt;=(LEN(D8)-LEN(SUBSTITUTE(D8,",",""))+1),"Đã phủ","THIẾU")</f>
        <v/>
      </c>
    </row>
    <row r="9" ht="14.25" customHeight="1" s="28">
      <c r="A9" s="35" t="n">
        <v>6</v>
      </c>
      <c r="B9" s="35" t="inlineStr">
        <is>
          <t>API tạo đơn hàng</t>
        </is>
      </c>
      <c r="C9" s="35" t="inlineStr">
        <is>
          <t>Hạnh</t>
        </is>
      </c>
      <c r="D9" s="35" t="inlineStr">
        <is>
          <t>GD1-09, GD2-08</t>
        </is>
      </c>
      <c r="E9" s="35">
        <f>COUNTIF(Phan_cong!$B$7:$B$39,"GD1-09")+COUNTIF(Phan_cong!$B$7:$B$39,"GD2-08")</f>
        <v/>
      </c>
      <c r="F9" s="35">
        <f>IF(E9&gt;=(LEN(D9)-LEN(SUBSTITUTE(D9,",",""))+1),"Đã phủ","THIẾU")</f>
        <v/>
      </c>
    </row>
    <row r="10" ht="14.25" customHeight="1" s="28">
      <c r="A10" s="35" t="n">
        <v>7</v>
      </c>
      <c r="B10" s="35" t="inlineStr">
        <is>
          <t>Đăng ký / Đăng nhập (JWT)</t>
        </is>
      </c>
      <c r="C10" s="35" t="inlineStr">
        <is>
          <t>Chiến</t>
        </is>
      </c>
      <c r="D10" s="35" t="inlineStr">
        <is>
          <t>GD1-01, GD2-01</t>
        </is>
      </c>
      <c r="E10" s="35">
        <f>COUNTIF(Phan_cong!$B$7:$B$39,"GD1-01")+COUNTIF(Phan_cong!$B$7:$B$39,"GD2-01")</f>
        <v/>
      </c>
      <c r="F10" s="35">
        <f>IF(E10&gt;=(LEN(D10)-LEN(SUBSTITUTE(D10,",",""))+1),"Đã phủ","THIẾU")</f>
        <v/>
      </c>
    </row>
    <row r="11" ht="14.25" customHeight="1" s="28">
      <c r="A11" s="35" t="n">
        <v>8</v>
      </c>
      <c r="B11" s="35" t="inlineStr">
        <is>
          <t>Thanh toán không tiền mặt</t>
        </is>
      </c>
      <c r="C11" s="35" t="inlineStr">
        <is>
          <t>Kiệt</t>
        </is>
      </c>
      <c r="D11" s="35" t="inlineStr">
        <is>
          <t>GD1-10, GD2-09</t>
        </is>
      </c>
      <c r="E11" s="35">
        <f>COUNTIF(Phan_cong!$B$7:$B$39,"GD1-10")+COUNTIF(Phan_cong!$B$7:$B$39,"GD2-09")</f>
        <v/>
      </c>
      <c r="F11" s="35">
        <f>IF(E11&gt;=(LEN(D11)-LEN(SUBSTITUTE(D11,",",""))+1),"Đã phủ","THIẾU")</f>
        <v/>
      </c>
    </row>
    <row r="12" ht="15" customHeight="1" s="28">
      <c r="A12" s="35" t="n">
        <v>9</v>
      </c>
      <c r="B12" s="35" t="inlineStr">
        <is>
          <t>Xác nhận, lịch sử đơn &amp; bàn giao</t>
        </is>
      </c>
      <c r="C12" s="35" t="inlineStr">
        <is>
          <t>Quang Huy</t>
        </is>
      </c>
      <c r="D12" s="35" t="inlineStr">
        <is>
          <t>GD1-11, GD2-03, GD3-04, GD3-08</t>
        </is>
      </c>
      <c r="E12" s="35">
        <f>COUNTIF(Phan_cong!$B$7:$B$39,"GD1-11")+COUNTIF(Phan_cong!$B$7:$B$39,"GD2-03")+COUNTIF(Phan_cong!$B$7:$B$39,"GD3-04")+COUNTIF(Phan_cong!$B$7:$B$39,"GD3-08")</f>
        <v/>
      </c>
      <c r="F12" s="35">
        <f>IF(E12&gt;=(LEN(D12)-LEN(SUBSTITUTE(D12,",",""))+1),"Đã phủ","THIẾU")</f>
        <v/>
      </c>
    </row>
    <row r="13" ht="14.25" customHeight="1" s="28">
      <c r="A13" s="35" t="n">
        <v>10</v>
      </c>
      <c r="B13" s="35" t="inlineStr">
        <is>
          <t>Nghiệp vụ backend (a)(b)(c)</t>
        </is>
      </c>
      <c r="C13" s="35" t="inlineStr">
        <is>
          <t>Hạnh / Kiệt / Hào</t>
        </is>
      </c>
      <c r="D13" s="35" t="inlineStr">
        <is>
          <t>GD1-08, GD1-10, GD3-01, GD3-02, GD3-03</t>
        </is>
      </c>
      <c r="E13" s="35">
        <f>COUNTIF(Phan_cong!$B$7:$B$39,"GD1-08")+COUNTIF(Phan_cong!$B$7:$B$39,"GD1-10")+COUNTIF(Phan_cong!$B$7:$B$39,"GD3-01")+COUNTIF(Phan_cong!$B$7:$B$39,"GD3-02")+COUNTIF(Phan_cong!$B$7:$B$39,"GD3-03")</f>
        <v/>
      </c>
      <c r="F13" s="35">
        <f>IF(E13&gt;=(LEN(D13)-LEN(SUBSTITUTE(D13,",",""))+1),"Đã phủ","THIẾU")</f>
        <v/>
      </c>
    </row>
    <row r="14" ht="14.25" customHeight="1" s="28">
      <c r="A14" s="31" t="inlineStr">
        <is>
          <t>Tổng</t>
        </is>
      </c>
      <c r="F14" s="31">
        <f>IF(COUNTIF(F4:F13,"THIẾU")=0,"Đủ 10/10","Còn thiếu")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2" customWidth="1" style="27" min="2" max="3"/>
    <col width="82" customWidth="1" style="27" min="4" max="4"/>
    <col width="44" customWidth="1" style="27" min="5" max="6"/>
    <col width="12" customWidth="1" style="27" min="7" max="7"/>
    <col width="15" customWidth="1" style="27" min="8" max="8"/>
    <col width="30" customWidth="1" style="27" min="9" max="9"/>
  </cols>
  <sheetData>
    <row r="1" ht="17.35" customHeight="1" s="28">
      <c r="A1" s="46" t="inlineStr">
        <is>
          <t>BREWLITE — CHANGE REQUEST (CR-01): QUẢN LÝ TỒN KHO THEO NGUYÊN LIỆU</t>
        </is>
      </c>
    </row>
    <row r="2" ht="15" customHeight="1" s="28">
      <c r="A2" s="47" t="inlineStr">
        <is>
          <t>Phần việc thực hiện của LEADER (Chiến): Thiết kế CR, cập nhật DB docs/UML, Prisma Schema &amp; Migration, Helper trừ/hoàn kho và Unit tests.</t>
        </is>
      </c>
    </row>
    <row r="3" ht="15" customHeight="1" s="28">
      <c r="A3" s="48" t="inlineStr">
        <is>
          <t>Tiến độ (số task Xong):</t>
        </is>
      </c>
      <c r="C3" s="48">
        <f>COUNTIF(G8:G20,"Xong")&amp;" / "&amp;COUNTA(B8:B20)</f>
        <v/>
      </c>
    </row>
    <row r="6" ht="15" customHeight="1" s="28">
      <c r="A6" s="49" t="inlineStr">
        <is>
          <t>Giai đoạn</t>
        </is>
      </c>
      <c r="B6" s="49" t="inlineStr">
        <is>
          <t>ID</t>
        </is>
      </c>
      <c r="C6" s="49" t="inlineStr">
        <is>
          <t>Người</t>
        </is>
      </c>
      <c r="D6" s="49" t="inlineStr">
        <is>
          <t>Việc cần làm</t>
        </is>
      </c>
      <c r="E6" s="49" t="inlineStr">
        <is>
          <t>File / thư mục</t>
        </is>
      </c>
      <c r="F6" s="49" t="inlineStr">
        <is>
          <t>Xong khi</t>
        </is>
      </c>
      <c r="G6" s="49" t="inlineStr">
        <is>
          <t>Status</t>
        </is>
      </c>
      <c r="H6" s="49" t="inlineStr">
        <is>
          <t>Leader Duyệt</t>
        </is>
      </c>
      <c r="I6" s="49" t="inlineStr">
        <is>
          <t>Ngày Hoàn thành Task</t>
        </is>
      </c>
    </row>
    <row r="7" ht="24" customHeight="1" s="28">
      <c r="A7" s="57" t="inlineStr">
        <is>
          <t>GIAI ĐOẠN 1 — THIẾT KẾ NỀN TẢNG, SCHEMA, MIGRATION &amp; HELPER (LEADER CHIẾN)</t>
        </is>
      </c>
      <c r="B7" s="58" t="n"/>
      <c r="C7" s="58" t="n"/>
      <c r="D7" s="58" t="n"/>
      <c r="E7" s="58" t="n"/>
      <c r="F7" s="58" t="n"/>
      <c r="G7" s="58" t="n"/>
      <c r="H7" s="58" t="n"/>
      <c r="I7" s="58" t="n"/>
    </row>
    <row r="8" ht="85" customHeight="1" s="28">
      <c r="A8" s="59" t="inlineStr">
        <is>
          <t>GĐ1-CR</t>
        </is>
      </c>
      <c r="B8" s="60" t="inlineStr">
        <is>
          <t>CR-LEADER</t>
        </is>
      </c>
      <c r="C8" s="60" t="inlineStr">
        <is>
          <t>Chiến</t>
        </is>
      </c>
      <c r="D8" s="61" t="inlineStr">
        <is>
          <t>Thực hiện trọn gói phần việc LEADER cho Change Request tồn kho theo nguyên liệu:
1. Viết lại CR doc (docs/change-request-ingredients.md) chốt D10–D14, định lượng S/M/L theo g/ml, bỏ version Ingredient, giữ cột cũ deprecated.
2. Sửa thiết kế DB (docs/database-design.md, database-erd.puml, class-diagram-backend.puml, database-uml.puml).
3. Thêm 4 model Prisma &amp; tạo migration add_ingredient_inventory (không alter cột cũ).
4. Viết helper deductIngredients/restoreIngredients và trọn bộ unit test Jest 100% pass.</t>
        </is>
      </c>
      <c r="E8" s="61" t="inlineStr">
        <is>
          <t>docs/change-request-ingredients.md
docs/database-design.md
docs/architecture/**
backend/prisma/**
backend/src/common/ingredient-stock.helper.*</t>
        </is>
      </c>
      <c r="F8" s="61" t="inlineStr">
        <is>
          <t>CR &amp; DB docs chuẩn D10-D14; Prisma validate/generate pass; 1 migration chỉ thêm bảng; helper có unit test 100% pass; npm run build &amp; npm test pass sạch sẽ.</t>
        </is>
      </c>
      <c r="G8" s="62" t="inlineStr">
        <is>
          <t>Xong</t>
        </is>
      </c>
      <c r="H8" s="60" t="inlineStr">
        <is>
          <t>OK</t>
        </is>
      </c>
      <c r="I8" s="59" t="inlineStr">
        <is>
          <t>27/10/2026 22:25 (CR-01)</t>
        </is>
      </c>
    </row>
    <row r="9" ht="85" customHeight="1" s="28">
      <c r="A9" s="59" t="inlineStr">
        <is>
          <t>GĐ1-CR</t>
        </is>
      </c>
      <c r="B9" s="60" t="inlineStr">
        <is>
          <t>CR-LEADER-02</t>
        </is>
      </c>
      <c r="C9" s="60" t="inlineStr">
        <is>
          <t>Chiến</t>
        </is>
      </c>
      <c r="D9" s="61" t="inlineStr">
        <is>
          <t>Chốt nốt trước khi mở nhánh cho cả nhóm:
1. Sửa deductIngredients trả về danh sách đã gom (IngredientUsage[]) để Hạnh ghi snapshot đúng bằng những gì đã trừ.
2. Chốt vào CR quy tắc món/size chưa có công thức (D15: trả 400 kèm message rõ ràng, kiểm tra trước khi trừ kho).
3. Cập nhật CR §6 theo phân công mới (hủy đơn → Vũ Huy, test Task 10(c) → Hào, Quang Huy không thuộc phạm vi CR-01).
4. Bổ sung D10–D15 vào sheet Quy_tac; sửa D3 (Ingredient không dùng version).</t>
        </is>
      </c>
      <c r="E9" s="61" t="inlineStr">
        <is>
          <t>backend/src/common/ingredient-stock.helper.*
docs/change-request-ingredients.md
sheet Quy_tac</t>
        </is>
      </c>
      <c r="F9" s="61" t="inlineStr">
        <is>
          <t>Helper + unit test cập nhật và pass (deductIngredients trả về danh sách đã gom); CR ghi rõ quy tắc thiếu công thức D15 và phân công đúng người; sheet Quy_tac đồng bộ D10–D15.</t>
        </is>
      </c>
      <c r="G9" s="62" t="inlineStr">
        <is>
          <t>Xong</t>
        </is>
      </c>
      <c r="H9" s="60" t="n"/>
      <c r="I9" s="59" t="n"/>
    </row>
    <row r="10" ht="55" customHeight="1" s="28">
      <c r="A10" s="59" t="inlineStr">
        <is>
          <t>GĐ1-CR</t>
        </is>
      </c>
      <c r="B10" s="60" t="inlineStr">
        <is>
          <t>CR-ROLE-DESIGN</t>
        </is>
      </c>
      <c r="C10" s="60" t="inlineStr">
        <is>
          <t>Chiến</t>
        </is>
      </c>
      <c r="D10" s="61" t="inlineStr">
        <is>
          <t>Sửa mã mẫu mục 5.1 trong CR (khai báo công thức theo dòng, nạp công thức gộp, topping theo toppingId); thiết kế User.role (D16), cập nhật docs/auth/**, database-uml.puml, database-erd.puml, Quy_tac (D4, D16)</t>
        </is>
      </c>
      <c r="E10" s="61" t="inlineStr">
        <is>
          <t>docs/auth/**
docs/change-request-ingredients.md
docs/database-uml.*
docs/architecture/database-erd.*
sheet Quy_tac</t>
        </is>
      </c>
      <c r="F10" s="61" t="inlineStr">
        <is>
          <t>Mã mẫu 5.1 biên dịch được về mặt kiểu; docs/auth, UML và Quy_tac khớp thiết kế D16</t>
        </is>
      </c>
      <c r="G10" s="62" t="inlineStr">
        <is>
          <t>Xong</t>
        </is>
      </c>
      <c r="H10" s="60" t="n"/>
      <c r="I10" s="59" t="n"/>
    </row>
    <row r="11" ht="75" customHeight="1" s="28">
      <c r="A11" s="59" t="inlineStr">
        <is>
          <t>GĐ1-CR</t>
        </is>
      </c>
      <c r="B11" s="60" t="inlineStr">
        <is>
          <t>CR-ROLE</t>
        </is>
      </c>
      <c r="C11" s="60" t="inlineStr">
        <is>
          <t>Chiến</t>
        </is>
      </c>
      <c r="D11" s="61" t="inlineStr">
        <is>
          <t>Hiện thực role: enum Role + User.role (migration add_user_role); role trong JWT và req.user; @Roles + RolesGuard; RegisterDto không nhận role; frontend lưu role trong useAuthStore, đăng nhập ADMIN chuyển tới /admin, useRequireAuth nhận tham số role; unit test RolesGuard</t>
        </is>
      </c>
      <c r="E11" s="61" t="inlineStr">
        <is>
          <t>backend/prisma/schema.prisma, migrations
backend/src/modules/auth/**
backend/src/common/**
frontend/src/store/useAuthStore.ts
frontend/src/hooks/useRequireAuth.ts
app/auth/login, app/admin/page.tsx</t>
        </is>
      </c>
      <c r="F11" s="61" t="inlineStr">
        <is>
          <t>Migration chạy sạch; build + test pass; user mặc định CUSTOMER; CUSTOMER gọi route @Roles(ADMIN) nhận 403; đăng nhập ADMIN chuyển tới /admin; phải merge TRƯỚC khi Lan làm CR-LAN-ADMIN</t>
        </is>
      </c>
      <c r="G11" s="60" t="inlineStr">
        <is>
          <t>Chưa làm</t>
        </is>
      </c>
      <c r="H11" s="60" t="n"/>
      <c r="I11" s="59" t="n"/>
    </row>
    <row r="12" ht="24" customHeight="1" s="28">
      <c r="A12" s="63" t="inlineStr">
        <is>
          <t>GIAI ĐOẠN 2 — TRIỂN KHAI NGUYÊN LIỆU THEO FEATURE (chỉ phân cho người có feature liên quan; Quang Huy không thuộc phạm vi CR-01)</t>
        </is>
      </c>
      <c r="B12" s="64" t="n"/>
      <c r="C12" s="64" t="n"/>
      <c r="D12" s="64" t="n"/>
      <c r="E12" s="64" t="n"/>
      <c r="F12" s="64" t="n"/>
      <c r="G12" s="64" t="n"/>
      <c r="H12" s="64" t="n"/>
      <c r="I12" s="64" t="n"/>
    </row>
    <row r="13" ht="95" customHeight="1" s="28">
      <c r="A13" s="59" t="inlineStr">
        <is>
          <t>GĐ2-CR</t>
        </is>
      </c>
      <c r="B13" s="60" t="inlineStr">
        <is>
          <t>CR-LAN</t>
        </is>
      </c>
      <c r="C13" s="60" t="inlineStr">
        <is>
          <t>Lan</t>
        </is>
      </c>
      <c r="D13" s="61" t="inlineStr">
        <is>
          <t>Seed nguyên liệu &amp; công thức (làm ĐẦU TIÊN, merge sớm vì Hạnh/Vũ Huy/Hào cần dữ liệu để test):
1. Viết docs/seed-recipes.md: bảng định mức cho cả 10 món × 3 size (S/M/L) và 3 topping, đơn vị g / ml / piece, số nguyên; mỗi bậc size tăng ~30–50% làm tròn (theo CR §2), không dùng đơn vị "gói".
2. Sửa seed.ts: seed Ingredient thực tế, ProductRecipe cho MỌI (món, size), ToppingRecipe cho 3 topping, tồn kho đủ để demo; giữ 1 nguyên liệu tồn thấp để test hết hàng.
3. Giữ Product.stock &gt; 0 (cột DEPRECATED nhưng GET /products vẫn đọc, đặt 0 sẽ làm món biến khỏi menu).</t>
        </is>
      </c>
      <c r="E13" s="61" t="inlineStr">
        <is>
          <t>backend/prisma/seed.ts
docs/seed-recipes.md</t>
        </is>
      </c>
      <c r="F13" s="61" t="inlineStr">
        <is>
          <t>prisma db seed chạy 2 lần liên tiếp không lỗi, không nhân đôi dữ liệu; truy vấn kiểm tra không có (món, size) nào thiếu công thức; có đúng 1 nguyên liệu tồn thấp để demo.</t>
        </is>
      </c>
      <c r="G13" s="60" t="inlineStr">
        <is>
          <t>Chưa làm</t>
        </is>
      </c>
      <c r="H13" s="60" t="n"/>
      <c r="I13" s="59" t="n"/>
    </row>
    <row r="14" ht="80" customHeight="1" s="28">
      <c r="A14" s="59" t="inlineStr">
        <is>
          <t>GĐ2-CR</t>
        </is>
      </c>
      <c r="B14" s="60" t="inlineStr">
        <is>
          <t>CR-LAN-ADMIN</t>
        </is>
      </c>
      <c r="C14" s="60" t="inlineStr">
        <is>
          <t>Lan</t>
        </is>
      </c>
      <c r="D14" s="61" t="inlineStr">
        <is>
          <t>Seed tài khoản ADMIN trong seed.ts (làm sau khi CR-ROLE merge): upsert theo email, role ADMIN, mật khẩu băm bcrypt cùng số rounds với auth.service; ADMIN_EMAIL/ADMIN_PASSWORD đọc từ env, thiếu thì dùng giá trị mặc định dev (chỉ khi NODE_ENV ≠ production, kèm cảnh báo log); thêm biến mẫu vào backend/.env.example; ghi tài khoản demo vào docs/seed-recipes.md hoặc README</t>
        </is>
      </c>
      <c r="E14" s="61" t="inlineStr">
        <is>
          <t>backend/prisma/seed.ts
backend/.env.example</t>
        </is>
      </c>
      <c r="F14" s="61" t="inlineStr">
        <is>
          <t>prisma db seed chạy 2 lần liên tiếp không lỗi, không nhân đôi user; đăng nhập được bằng tài khoản ADMIN và nhận role ADMIN</t>
        </is>
      </c>
      <c r="G14" s="60" t="inlineStr">
        <is>
          <t>Chưa làm</t>
        </is>
      </c>
      <c r="H14" s="60" t="n"/>
      <c r="I14" s="59" t="n"/>
    </row>
    <row r="15" ht="105" customHeight="1" s="28">
      <c r="A15" s="59" t="inlineStr">
        <is>
          <t>GĐ2-CR</t>
        </is>
      </c>
      <c r="B15" s="60" t="inlineStr">
        <is>
          <t>CR-HANH</t>
        </is>
      </c>
      <c r="C15" s="60" t="inlineStr">
        <is>
          <t>Hạnh</t>
        </is>
      </c>
      <c r="D15" s="61" t="inlineStr">
        <is>
          <t>Order — trừ kho theo nguyên liệu khi tạo đơn:
1. OrdersService.create: sau khi tính giá, đọc ProductRecipe theo (productId, size) và ToppingRecipe theo toppingId, nhân với số lượng dòng, gom theo ingredientId.
2. Gọi deductIngredients(tx, …) trong transaction; sau khi có order.id, createMany OrderIngredientUsage từ danh sách helper trả về. Bỏ phần trừ Product.stock/version và Topping.stock.
3. Món/size thiếu công thức → báo lỗi theo quy tắc Chiến chốt (D15: không trừ 0).
4. Viết lại orders.service.spec.ts (và order.service.spec.ts nếu còn mock stock) theo logic mới.
5. Cập nhật docs/order/** (api-contract, db-mapping-order, sequence/activity, use-case, test-cases, state-machine: stock → nguyên liệu, cả phần hủy đơn) và backend/requests/orders.http.</t>
        </is>
      </c>
      <c r="E15" s="61" t="inlineStr">
        <is>
          <t>backend/src/modules/orders/orders.service.ts, orders/dto/**
backend/src/modules/orders/*.spec.ts
docs/order/**
backend/requests/orders.http</t>
        </is>
      </c>
      <c r="F15" s="61" t="inlineStr">
        <is>
          <t>Thiếu nguyên liệu → 400 nêu tên nguyên liệu, rollback sạch (không tạo đơn, không trừ dở); đơn thành công có OrderIngredientUsage khớp tổng nhu cầu; npm test xanh.</t>
        </is>
      </c>
      <c r="G15" s="60" t="inlineStr">
        <is>
          <t>Chưa làm</t>
        </is>
      </c>
      <c r="H15" s="60" t="n"/>
      <c r="I15" s="59" t="n"/>
    </row>
    <row r="16" ht="95" customHeight="1" s="28">
      <c r="A16" s="59" t="inlineStr">
        <is>
          <t>GĐ2-CR</t>
        </is>
      </c>
      <c r="B16" s="60" t="inlineStr">
        <is>
          <t>CR-VUHUY</t>
        </is>
      </c>
      <c r="C16" s="60" t="inlineStr">
        <is>
          <t>Vũ Huy</t>
        </is>
      </c>
      <c r="D16" s="61" t="inlineStr">
        <is>
          <t>Hủy đơn — hoàn nguyên liệu theo snapshot (chủ module cancel, GD1-07):
1. CancelOrderService.cancel: thay đoạn hoàn Product/Topping bằng restoreIngredients(tx, usages) với dữ liệu OrderIngredientUsage của đơn, trong CÙNG transaction với OrderService.transition().
2. Đơn tạo trước migration không có snapshot → không lỗi 500 (bỏ qua hoàn).
3. Giữ nguyên rule cũ: chỉ chủ đơn (khác chủ → 404), chỉ từ PENDING/PAYMENT_FAILED (còn lại → 409), hủy 2 lần → 409 và KHÔNG hoàn lần 2.
4. Cập nhật backend/requests/cancel-order.http. (Docs hủy đơn do Hạnh sửa trong docs/order/** để tránh đụng file.)</t>
        </is>
      </c>
      <c r="E16" s="61" t="inlineStr">
        <is>
          <t>backend/src/modules/orders/cancel/**
backend/requests/cancel-order.http</t>
        </is>
      </c>
      <c r="F16" s="61" t="inlineStr">
        <is>
          <t>Hủy đơn hoàn đúng từng nguyên liệu như snapshot (so sánh tồn kho trước/sau); hủy 2 lần không hoàn đôi; code song song được ngay, test thật sau khi Hạnh merge.</t>
        </is>
      </c>
      <c r="G16" s="60" t="inlineStr">
        <is>
          <t>Chưa làm</t>
        </is>
      </c>
      <c r="H16" s="60" t="n"/>
      <c r="I16" s="59" t="n"/>
    </row>
    <row r="17" ht="85" customHeight="1" s="28">
      <c r="A17" s="59" t="inlineStr">
        <is>
          <t>GĐ2-CR</t>
        </is>
      </c>
      <c r="B17" s="60" t="inlineStr">
        <is>
          <t>CR-KIET</t>
        </is>
      </c>
      <c r="C17" s="60" t="inlineStr">
        <is>
          <t>Kiệt</t>
        </is>
      </c>
      <c r="D17" s="61" t="inlineStr">
        <is>
          <t>Payment — rà soát, không đổi logic nếu không có lỗi:
1. Xác nhận POST /payments và thử lại PAYMENT_FAILED → PENDING KHÔNG gọi trừ/hoàn nguyên liệu (nguyên liệu chỉ trừ lúc tạo đơn); thanh toán lỗi giữ nguyên nguyên liệu; replay Idempotency-Key không đổi gì.
2. Cập nhật docs/payment/** (usecase-payment-spec mục giữ tồn kho Q2, db-mapping-payment, thêm test case "tồn kho nguyên liệu không đổi" khi lỗi/retry/replay).
3. Chạy lại test Task 10(b) và backend/requests/payment.http.</t>
        </is>
      </c>
      <c r="E17" s="61" t="inlineStr">
        <is>
          <t>backend/src/modules/payments/** (chỉ sửa nếu phát hiện lỗi)
docs/payment/**
backend/requests/payment.http</t>
        </is>
      </c>
      <c r="F17" s="61" t="inlineStr">
        <is>
          <t>Tồn kho nguyên liệu trước/sau khi thanh toán lỗi, thử lại, replay đều không đổi; test (b) xanh; docs payment khớp thiết kế mới.</t>
        </is>
      </c>
      <c r="G17" s="60" t="inlineStr">
        <is>
          <t>Chưa làm</t>
        </is>
      </c>
      <c r="H17" s="60" t="n"/>
      <c r="I17" s="59" t="n"/>
    </row>
    <row r="18" ht="85" customHeight="1" s="28">
      <c r="A18" s="59" t="inlineStr">
        <is>
          <t>GĐ2-CR</t>
        </is>
      </c>
      <c r="B18" s="60" t="inlineStr">
        <is>
          <t>CR-HAO</t>
        </is>
      </c>
      <c r="C18" s="60" t="inlineStr">
        <is>
          <t>Hảo</t>
        </is>
      </c>
      <c r="D18" s="61" t="inlineStr">
        <is>
          <t>Test Task 10(c) — viết lại theo tồn kho nguyên liệu (làm SAU khi Lan + Hạnh merge):
1. backend/test/concurrency.ts (Test 1): reset tồn kho NGUYÊN LIỆU thay vì Product.stock; bắn N request song song cùng dùng chung 1 nguyên liệu chỉ đủ k phần; in số đơn thành công / thất bại và tồn kho cuối.
2. orders-concurrency.e2e-spec.ts: (c) cho món, (c2) cho topping dùng chung nguyên liệu.
3. Cập nhật TS-FR-09-01 trong docs/test-scenarios/test-scenarios.md.</t>
        </is>
      </c>
      <c r="E18" s="61" t="inlineStr">
        <is>
          <t>backend/test/concurrency.ts
backend/test/orders-concurrency.e2e-spec.ts
backend/test/helpers/**
docs/test-scenarios/test-scenarios.md</t>
        </is>
      </c>
      <c r="F18" s="61" t="inlineStr">
        <is>
          <t>Đúng k đơn thành công, N−k đơn bị 400; tồn kho cuối ≥ 0 và = ban đầu − k × lượng; không deadlock, không 500; chạy được bằng 1 lệnh.</t>
        </is>
      </c>
      <c r="G18" s="60" t="inlineStr">
        <is>
          <t>Chưa làm</t>
        </is>
      </c>
      <c r="H18" s="60" t="n"/>
      <c r="I18" s="59" t="n"/>
    </row>
    <row r="19" ht="24" customHeight="1" s="28">
      <c r="A19" s="65" t="inlineStr">
        <is>
          <t>GIAI ĐOẠN 3 — TÍCH HỢP &amp; VERIFY (LEADER CHIẾN)</t>
        </is>
      </c>
      <c r="B19" s="66" t="n"/>
      <c r="C19" s="66" t="n"/>
      <c r="D19" s="66" t="n"/>
      <c r="E19" s="66" t="n"/>
      <c r="F19" s="66" t="n"/>
      <c r="G19" s="66" t="n"/>
      <c r="H19" s="66" t="n"/>
      <c r="I19" s="66" t="n"/>
    </row>
    <row r="20" ht="85" customHeight="1" s="28">
      <c r="A20" s="59" t="inlineStr">
        <is>
          <t>GĐ3-CR</t>
        </is>
      </c>
      <c r="B20" s="60" t="inlineStr">
        <is>
          <t>CR-VERIFY</t>
        </is>
      </c>
      <c r="C20" s="60" t="inlineStr">
        <is>
          <t>Chiến</t>
        </is>
      </c>
      <c r="D20" s="61" t="inlineStr">
        <is>
          <t>Tích hợp theo thứ tự: Lan (seed) → Hạnh (order) → Vũ Huy (cancel) → Kiệt (payment) → Hào (test c).
Sau mỗi merge: prisma generate, npm run build, npm test, npm run test:e2e. Chạy luồng thật: tạo đơn → kiểm tra tồn kho giảm → hủy → tồn kho hoàn; thanh toán lỗi → retry → tồn kho không đổi. Cập nhật README. Bước sau (Giai đoạn 2 của CR): dọn cột cũ, cập nhật báo cáo LaTeX.</t>
        </is>
      </c>
      <c r="E20" s="61" t="inlineStr">
        <is>
          <t>develop → main
README.md</t>
        </is>
      </c>
      <c r="F20" s="61" t="inlineStr">
        <is>
          <t>Build + toàn bộ test xanh trên máy sạch; luồng thật chạy đúng 3 tiêu chí Task 10 (a)(b)(c); báo cáo mô tả đúng cơ chế mới.</t>
        </is>
      </c>
      <c r="G20" s="60" t="inlineStr">
        <is>
          <t>Chưa làm</t>
        </is>
      </c>
      <c r="H20" s="60" t="n"/>
      <c r="I20" s="59" t="n"/>
    </row>
    <row r="21" s="28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</row>
    <row r="22" s="28">
      <c r="A22" s="67" t="n"/>
      <c r="B22" s="67" t="n"/>
      <c r="C22" s="67" t="n"/>
      <c r="D22" s="67" t="n"/>
      <c r="E22" s="67" t="n"/>
      <c r="F22" s="67" t="n"/>
      <c r="G22" s="67" t="n"/>
      <c r="H22" s="67" t="n"/>
      <c r="I22" s="67" t="n"/>
    </row>
    <row r="23" s="28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</row>
    <row r="24" s="28">
      <c r="A24" s="67" t="n"/>
      <c r="B24" s="67" t="n"/>
      <c r="C24" s="67" t="n"/>
      <c r="D24" s="67" t="n"/>
      <c r="E24" s="67" t="n"/>
      <c r="F24" s="67" t="n"/>
      <c r="G24" s="67" t="n"/>
      <c r="H24" s="67" t="n"/>
      <c r="I24" s="67" t="n"/>
    </row>
    <row r="25" s="28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</row>
    <row r="26" s="28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</row>
    <row r="27" s="28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</row>
    <row r="28" s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</row>
    <row r="29" s="28">
      <c r="A29" s="67" t="n"/>
      <c r="B29" s="67" t="n"/>
      <c r="C29" s="67" t="n"/>
      <c r="D29" s="67" t="n"/>
      <c r="E29" s="67" t="n"/>
      <c r="F29" s="67" t="n"/>
      <c r="G29" s="67" t="n"/>
      <c r="H29" s="67" t="n"/>
      <c r="I29" s="67" t="n"/>
    </row>
    <row r="30" s="28">
      <c r="A30" s="67" t="n"/>
      <c r="B30" s="67" t="n"/>
      <c r="C30" s="67" t="n"/>
      <c r="D30" s="67" t="n"/>
      <c r="E30" s="67" t="n"/>
      <c r="F30" s="67" t="n"/>
      <c r="G30" s="67" t="n"/>
      <c r="H30" s="67" t="n"/>
      <c r="I30" s="67" t="n"/>
    </row>
    <row r="31" s="28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</row>
    <row r="32" s="28">
      <c r="A32" s="67" t="n"/>
      <c r="B32" s="67" t="n"/>
      <c r="C32" s="67" t="n"/>
      <c r="D32" s="67" t="n"/>
      <c r="E32" s="67" t="n"/>
      <c r="F32" s="67" t="n"/>
      <c r="G32" s="67" t="n"/>
      <c r="H32" s="67" t="n"/>
      <c r="I32" s="67" t="n"/>
    </row>
    <row r="33" s="28">
      <c r="A33" s="67" t="n"/>
      <c r="B33" s="67" t="n"/>
      <c r="C33" s="67" t="n"/>
      <c r="D33" s="67" t="n"/>
      <c r="E33" s="67" t="n"/>
      <c r="F33" s="67" t="n"/>
      <c r="G33" s="67" t="n"/>
      <c r="H33" s="67" t="n"/>
      <c r="I33" s="67" t="n"/>
    </row>
    <row r="34" s="28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</row>
    <row r="35" s="28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</row>
  </sheetData>
  <mergeCells count="3">
    <mergeCell ref="A7:I7"/>
    <mergeCell ref="A19:I19"/>
    <mergeCell ref="A12:I12"/>
  </mergeCells>
  <conditionalFormatting sqref="G8:G20">
    <cfRule type="cellIs" priority="3" operator="equal" dxfId="4">
      <formula>"Xong"</formula>
    </cfRule>
    <cfRule type="cellIs" priority="4" operator="equal" dxfId="5">
      <formula>"Đang làm"</formula>
    </cfRule>
  </conditionalFormatting>
  <dataValidations count="1">
    <dataValidation sqref="G8:G11 G13:G18 G20" showDropDown="0" showInputMessage="0" showErrorMessage="0" allowBlank="1" type="list">
      <formula1>"Chưa làm,Đang làm,Xong"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2026-10-18T10:44:53Z</dcterms:created>
  <dcterms:modified xsi:type="dcterms:W3CDTF">2026-10-28T07:27:04Z</dcterms:modified>
  <cp:lastModifiedBy>Phạm Minh Chiến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0x01010036CD56B4CFAFD04CA364FA433B51A9CD</vt:lpwstr>
  </property>
</Properties>
</file>