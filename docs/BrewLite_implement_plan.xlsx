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n_cong" sheetId="1" state="visible" r:id="rId3"/>
    <sheet name="Quy_tac" sheetId="2" state="visible" r:id="rId4"/>
    <sheet name="Doi_chieu_10_tas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<sst xmlns="http://schemas.openxmlformats.org/spreadsheetml/2006/main" count="283" uniqueCount="197">
  <si>
    <t xml:space="preserve">BREWLITE — PHÂN CÔNG (3 GIAI ĐOẠN)</t>
  </si>
  <si>
    <t xml:space="preserve">GĐ1 Backend → GĐ2 Frontend → GĐ3 Tích hợp + bàn giao. Mỗi người code (kèm agent) theo docs/ của feature mình; chỉ sửa thư mục của mình. Chi tiết quy tắc ở sheet Quy_tac.</t>
  </si>
  <si>
    <t xml:space="preserve">Tiến độ (số task Xong):</t>
  </si>
  <si>
    <t xml:space="preserve">Giai đoạn</t>
  </si>
  <si>
    <t xml:space="preserve">ID</t>
  </si>
  <si>
    <t xml:space="preserve">Người</t>
  </si>
  <si>
    <t xml:space="preserve">Việc cần làm</t>
  </si>
  <si>
    <t xml:space="preserve">File / thư mục</t>
  </si>
  <si>
    <t xml:space="preserve">Xong khi</t>
  </si>
  <si>
    <t xml:space="preserve">Status</t>
  </si>
  <si>
    <t xml:space="preserve">GIAI ĐOẠN 1 — BACKEND (song song; cuối GĐ1 mỗi người có request curl chạy được cho endpoint của mình)</t>
  </si>
  <si>
    <t xml:space="preserve">GĐ1</t>
  </si>
  <si>
    <t xml:space="preserve">GD1-01</t>
  </si>
  <si>
    <t xml:space="preserve">Chiến</t>
  </si>
  <si>
    <t xml:space="preserve">Auth: POST /auth/register, /auth/login (bcrypt, JWT), JwtAuthGuard, req.user = { sub, email }.</t>
  </si>
  <si>
    <t xml:space="preserve">backend/src/modules/auth/**</t>
  </si>
  <si>
    <t xml:space="preserve">Sai mật khẩu → 401; email trùng → 409; thiếu/hết hạn token → 401; không lưu plaintext password.</t>
  </si>
  <si>
    <t xml:space="preserve">Chưa làm</t>
  </si>
  <si>
    <t xml:space="preserve">GD1-02</t>
  </si>
  <si>
    <t xml:space="preserve">Nền chung (làm NGÀY 1): sửa AllExceptionsFilter (không lộ lỗi nội bộ, Prisma P2002→409, P2025→404); migration OrderStatusHistory.fromStatus nullable; 1 endpoint /health; cài jest cho backend; đăng ký sẵn module trong app.module.ts; chốt chữ ký hàm chung (calculate / transition / validate).</t>
  </si>
  <si>
    <t xml:space="preserve">backend/prisma/schema.prisma, migrations, common/**, app.module.ts, main.ts</t>
  </si>
  <si>
    <t xml:space="preserve">`npm run build` + `npm test` chạy được trên máy sạch; mọi người pull và code tiếp không chờ nhau.</t>
  </si>
  <si>
    <t xml:space="preserve">GD1-03</t>
  </si>
  <si>
    <t xml:space="preserve">Lan</t>
  </si>
  <si>
    <t xml:space="preserve">Seed (làm NGÀY 1, merge sớm): ≥10 sản phẩm có ảnh, 3 topping, ≥2 mã khuyến mãi (giảm % có trần + giảm cố định, có mức tối thiểu), user demo, 1 sản phẩm tồn kho thấp.</t>
  </si>
  <si>
    <t xml:space="preserve">backend/prisma/seed.ts</t>
  </si>
  <si>
    <t xml:space="preserve">`prisma db seed` chạy 2 lần liên tiếp không lỗi.</t>
  </si>
  <si>
    <t xml:space="preserve">GD1-04</t>
  </si>
  <si>
    <t xml:space="preserve">GET /products bằng Prisma: chỉ sản phẩm đang bán, KHÔNG trả stock, rỗng trả [].</t>
  </si>
  <si>
    <t xml:space="preserve">modules/products/products.controller.ts, products.service.ts</t>
  </si>
  <si>
    <t xml:space="preserve">Khớp docs/product-catalog/api-contract; không lộ stock.</t>
  </si>
  <si>
    <t xml:space="preserve">GD1-05</t>
  </si>
  <si>
    <t xml:space="preserve">PromotionsService.validate(code, totalAmount) → { promotionId, discountAmount } hoặc 400 (hết hạn, chưa tới hạn, dưới mức tối thiểu, mã sai; không âm). LoyaltyService.award(tx, order): floor(finalAmount/1000) điểm, idempotent theo orderId.</t>
  </si>
  <si>
    <t xml:space="preserve">modules/promotions/**, modules/loyalty/**</t>
  </si>
  <si>
    <t xml:space="preserve">Gọi 2 lần chỉ cộng điểm 1 lần; giảm giá không làm finalAmount &lt; 0.</t>
  </si>
  <si>
    <t xml:space="preserve">GD1-06</t>
  </si>
  <si>
    <t xml:space="preserve">Vũ Huy</t>
  </si>
  <si>
    <t xml:space="preserve">PricingService.calculate (nguồn giá duy nhất: unitPrice, lineTotal) + GET /products/:id (giá theo size, topping đang bán, 404, cờ hết hàng).</t>
  </si>
  <si>
    <t xml:space="preserve">modules/pricing/**, modules/products/product-detail.*</t>
  </si>
  <si>
    <t xml:space="preserve">Ví dụ giá S/M/L × 0–3 topping khớp docs; id sai → 404.</t>
  </si>
  <si>
    <t xml:space="preserve">GD1-07</t>
  </si>
  <si>
    <t xml:space="preserve">POST /orders/:id/cancel: chỉ chủ đơn (khác chủ → 404); chỉ từ PENDING/PAYMENT_FAILED (còn lại → 409); hoàn kho Product + Topping trong cùng transaction; gọi OrderService.transition().</t>
  </si>
  <si>
    <t xml:space="preserve">modules/orders/cancel/**</t>
  </si>
  <si>
    <t xml:space="preserve">Hủy 2 lần → 409; tồn kho trở lại đúng.</t>
  </si>
  <si>
    <t xml:space="preserve">GD1-08</t>
  </si>
  <si>
    <t xml:space="preserve">Hạnh</t>
  </si>
  <si>
    <t xml:space="preserve">OrderService.transition() = chỗ DUY NHẤT ghi Order.status (assertTransition theo 9 chuyển tiếp, cập nhật có điều kiện theo version, ghi OrderStatusHistory). Push stub chữ ký lên ngày 1 để Kiệt / Vũ Huy gọi được.</t>
  </si>
  <si>
    <t xml:space="preserve">modules/orders/order.service.ts, order-state.ts</t>
  </si>
  <si>
    <t xml:space="preserve">Chuyển sai → 409; COMPLETED/CANCELLED không đi tiếp.</t>
  </si>
  <si>
    <t xml:space="preserve">GD1-09</t>
  </si>
  <si>
    <t xml:space="preserve">POST /orders: JwtAuthGuard, DTO validate (items không rỗng, quantity 1..99, topping ≤3 không trùng, promotionCode tùy chọn, không nhận userId), dùng PricingService + PromotionsService, transaction: trừ kho Product (optimistic lock theo version) + Topping (stock &gt;= quantity), tạo Order PENDING + OrderItem + lịch sử.</t>
  </si>
  <si>
    <t xml:space="preserve">modules/orders/** (trừ cancel, history)</t>
  </si>
  <si>
    <t xml:space="preserve">Server tự tính tiền; lỗi giữa chừng → rollback; hết hàng → 400; trả mã đơn.</t>
  </si>
  <si>
    <t xml:space="preserve">GD1-10</t>
  </si>
  <si>
    <t xml:space="preserve">Kiệt</t>
  </si>
  <si>
    <t xml:space="preserve">MockGateway (X-Mock-Outcome chỉ đọc khi NODE_ENV ≠ production) + POST /payments: header Idempotency-Key bắt buộc, body { orderId, method }; chủ đơn (404), trạng thái PENDING/PAYMENT_FAILED (409); thành công → PAID + cộng điểm (LoyaltyService.award); lỗi → PAYMENT_FAILED; thử lại bằng key mới; cùng key cùng nội dung → trả kết quả cũ; cùng key khác nội dung → 409.</t>
  </si>
  <si>
    <t xml:space="preserve">modules/payments/**</t>
  </si>
  <si>
    <t xml:space="preserve">Replay không tạo Payment mới; không 500 khi trùng key; chỉ gọi transition() để đổi trạng thái.</t>
  </si>
  <si>
    <t xml:space="preserve">GD1-11</t>
  </si>
  <si>
    <t xml:space="preserve">Quang Huy</t>
  </si>
  <si>
    <t xml:space="preserve">GET /orders/me: lọc theo req.user.sub, mới nhất trước, phân trang, kèm items + trạng thái thanh toán.</t>
  </si>
  <si>
    <t xml:space="preserve">modules/orders/history/**</t>
  </si>
  <si>
    <t xml:space="preserve">User A không đọc được đơn của user B.</t>
  </si>
  <si>
    <t xml:space="preserve">GD1-12</t>
  </si>
  <si>
    <t xml:space="preserve">Hào</t>
  </si>
  <si>
    <t xml:space="preserve">Script bắn N request song song POST /orders (dùng cho test (c)) + curl thử luồng Orders/Payments của Hạnh, Kiệt và báo lỗi cho đúng owner.</t>
  </si>
  <si>
    <t xml:space="preserve">backend/test/helpers/**</t>
  </si>
  <si>
    <t xml:space="preserve">1 lệnh chạy được; in số đơn thành công/thất bại và tồn kho cuối.</t>
  </si>
  <si>
    <t xml:space="preserve">GIAI ĐOẠN 2 — FRONTEND (song song; nối API thật; mọi màn dùng tốt ở 375px, có loading / empty / error)</t>
  </si>
  <si>
    <t xml:space="preserve">GĐ2</t>
  </si>
  <si>
    <t xml:space="preserve">GD2-01</t>
  </si>
  <si>
    <t xml:space="preserve">api-client (gắn Bearer, 401 → về login và giữ trang đích), Login/Register, route guard cho /checkout và /orders.</t>
  </si>
  <si>
    <t xml:space="preserve">frontend/src/app/(auth)/**, lib/api-client.ts</t>
  </si>
  <si>
    <t xml:space="preserve">Đăng ký / đăng nhập được; không báo thành công trước khi API trả.</t>
  </si>
  <si>
    <t xml:space="preserve">GD2-02</t>
  </si>
  <si>
    <t xml:space="preserve">(Làm đầu GĐ2, 1–2 ngày) AppShell + BottomNav (Menu / Giỏ có badge / Đơn), nối vào layout.tsx, design token trong globals.css.</t>
  </si>
  <si>
    <t xml:space="preserve">frontend/src/components/shell/**, layout.tsx, globals.css</t>
  </si>
  <si>
    <t xml:space="preserve">Hiển thị đúng 360–430px; badge lấy từ selector của Hào.</t>
  </si>
  <si>
    <t xml:space="preserve">GD2-03</t>
  </si>
  <si>
    <t xml:space="preserve">Trang /orders (lịch sử) + màn xác nhận đơn (mã đơn, trạng thái, tổng tiền, điểm tích lũy); nhãn trạng thái tiếng Việt cho 7 trạng thái.</t>
  </si>
  <si>
    <t xml:space="preserve">frontend/src/app/orders/**</t>
  </si>
  <si>
    <t xml:space="preserve">Dữ liệu từ API, không hardcode; đủ nhãn trạng thái.</t>
  </si>
  <si>
    <t xml:space="preserve">GD2-04</t>
  </si>
  <si>
    <t xml:space="preserve">Trang /menu: lưới 2 cột, ProductCard (ảnh + fallback, tên, giá), loading / empty / error, link sang /products/[id].</t>
  </si>
  <si>
    <t xml:space="preserve">frontend/src/app/menu/**, components/product-card/**</t>
  </si>
  <si>
    <t xml:space="preserve">Không hardcode menu; tap target ≥ 44px.</t>
  </si>
  <si>
    <t xml:space="preserve">GD2-05</t>
  </si>
  <si>
    <t xml:space="preserve">Ô nhập mã khuyến mãi ở checkout (component riêng): gửi promotionCode, hiển thị giảm giá và finalAmount, báo lỗi mã.</t>
  </si>
  <si>
    <t xml:space="preserve">components/checkout/PromoInput*</t>
  </si>
  <si>
    <t xml:space="preserve">Mã sai báo lỗi và giữ nguyên giỏ.</t>
  </si>
  <si>
    <t xml:space="preserve">GD2-06</t>
  </si>
  <si>
    <t xml:space="preserve">Trang /products/[id]: chọn size, topping (≤3, không trùng), số lượng 1..99, giá tạm tính, 404 riêng; nút Thêm vào giỏ (gọi addItem của Hào); hiển thị lỗi hết hàng theo từng món.</t>
  </si>
  <si>
    <t xml:space="preserve">frontend/src/app/products/[id]/**, components/product-detail/**</t>
  </si>
  <si>
    <t xml:space="preserve">Giá đổi đúng theo lựa chọn; sửa số lượng hoặc xóa món để đặt lại được.</t>
  </si>
  <si>
    <t xml:space="preserve">GD2-07</t>
  </si>
  <si>
    <t xml:space="preserve">Cart store (Zustand, persist): dòng = productId + size + toppingIds sắp xếp; add (gộp dòng), updateQty 1..99, remove, clearCart; total/badge; pendingOrderId. Cart UI (bottom-sheet hoặc trang giỏ), empty state, nút Thanh toán disabled khi rỗng.</t>
  </si>
  <si>
    <t xml:space="preserve">frontend/src/store/cart/**, components/cart/**</t>
  </si>
  <si>
    <t xml:space="preserve">Cùng cấu hình không nhân đôi dòng; đóng tab mở lại vẫn giữ giỏ.</t>
  </si>
  <si>
    <t xml:space="preserve">GD2-08</t>
  </si>
  <si>
    <t xml:space="preserve">Trang /checkout: tóm tắt từ giỏ, gửi POST /orders, lưu pendingOrderId; giỏ không đổi → dùng lại đơn; giỏ đổi → hủy đơn cũ rồi tạo đơn mới; chặn bấm đúp; hiển thị lỗi 400/401.</t>
  </si>
  <si>
    <t xml:space="preserve">frontend/src/app/checkout/page*, components/checkout/**</t>
  </si>
  <si>
    <t xml:space="preserve">Không xóa giỏ khi tạo đơn; lỗi dễ hiểu.</t>
  </si>
  <si>
    <t xml:space="preserve">GD2-09</t>
  </si>
  <si>
    <t xml:space="preserve">Màn thanh toán: chọn Ví/Thẻ, Idempotency-Key mới mỗi lượt thử (giữ key khi retry do lỗi mạng); thành công → clearCart + sang xác nhận; lỗi → giữ giỏ + nút Thử lại; công tắc demo (NEXT_PUBLIC_DEMO_MODE) gửi X-Mock-Outcome.</t>
  </si>
  <si>
    <t xml:space="preserve">frontend/src/app/checkout/payment/**, components/payment/**</t>
  </si>
  <si>
    <t xml:space="preserve">Demo được cả thành công và thất bại; giỏ chỉ xóa sau PAID.</t>
  </si>
  <si>
    <t xml:space="preserve">GIAI ĐOẠN 3 — TÍCH HỢP + TEST TASK 10 + BÀN GIAO</t>
  </si>
  <si>
    <t xml:space="preserve">GĐ3</t>
  </si>
  <si>
    <t xml:space="preserve">GD3-01</t>
  </si>
  <si>
    <t xml:space="preserve">Test (a): chặn mọi chuyển trạng thái sai (kể cả PAID → PENDING, COMPLETED → *); chuyển hợp lệ ghi lịch sử.</t>
  </si>
  <si>
    <t xml:space="preserve">backend/test/state-machine.spec.ts</t>
  </si>
  <si>
    <t xml:space="preserve">Test pass.</t>
  </si>
  <si>
    <t xml:space="preserve">GD3-02</t>
  </si>
  <si>
    <t xml:space="preserve">Test (b): gửi 2 lần (và 2 request song song) cùng Idempotency-Key chỉ tạo 1 Payment và 1 lần chuyển PAID; cùng key khác nội dung → 409.</t>
  </si>
  <si>
    <t xml:space="preserve">backend/test/idempotency.spec.ts</t>
  </si>
  <si>
    <t xml:space="preserve">Test pass; DB chỉ có 1 Payment.</t>
  </si>
  <si>
    <t xml:space="preserve">GD3-03</t>
  </si>
  <si>
    <t xml:space="preserve">Test (c): N request song song vào sản phẩm tồn kho K → đúng K đơn thành công, còn lại 400, tồn kho không âm (lặp lại với topping).</t>
  </si>
  <si>
    <t xml:space="preserve">backend/test/concurrency.spec.ts</t>
  </si>
  <si>
    <t xml:space="preserve">Test pass; stock cuối = K − số đơn thành công.</t>
  </si>
  <si>
    <t xml:space="preserve">GD3-04</t>
  </si>
  <si>
    <t xml:space="preserve">Dockerfile backend + frontend, docker-compose đủ 3 dịch vụ (migrate + seed tự động); README chạy từ máy sạch + hướng dẫn mở trên điện thoại qua IP LAN; không secret trong repo; merge develop → main, gắn tag v1.0.</t>
  </si>
  <si>
    <t xml:space="preserve">backend/Dockerfile, frontend/Dockerfile, docker-compose.yml, README.md</t>
  </si>
  <si>
    <t xml:space="preserve">`docker compose up` trên máy sạch chạy đủ 3 dịch vụ.</t>
  </si>
  <si>
    <t xml:space="preserve">GD3-05</t>
  </si>
  <si>
    <t xml:space="preserve">Kịch bản demo ~10 phút (tài khoản demo, mã khuyến mãi, thành công / thất bại / thử lại, reset dữ liệu nhanh) + Product Backlog, Sprint Backlog.</t>
  </si>
  <si>
    <t xml:space="preserve">docs/demo/**, docs/scrum/**</t>
  </si>
  <si>
    <t xml:space="preserve">Tập demo 2 lần không lỗi.</t>
  </si>
  <si>
    <t xml:space="preserve">GD3-06</t>
  </si>
  <si>
    <t xml:space="preserve">Burndown từng Sprint, nhật ký Daily Scrum, ghi chú Review / Retrospective; chạy thử demo trên điện thoại cùng Lan.</t>
  </si>
  <si>
    <t xml:space="preserve">docs/scrum/**</t>
  </si>
  <si>
    <t xml:space="preserve">Đủ artefact Scrum theo đề.</t>
  </si>
  <si>
    <t xml:space="preserve">GD3-07</t>
  </si>
  <si>
    <t xml:space="preserve">Kiểm thử tay trên điện thoại (iOS Safari / Android Chrome, qua LAN): layout, bàn phím, tap target; ghi danh sách lỗi và giao đúng owner sửa.</t>
  </si>
  <si>
    <t xml:space="preserve">docs/bugs.md</t>
  </si>
  <si>
    <t xml:space="preserve">Không còn lỗi chặn luồng mua hàng.</t>
  </si>
  <si>
    <t xml:space="preserve">GD3-08</t>
  </si>
  <si>
    <t xml:space="preserve">Cả nhóm</t>
  </si>
  <si>
    <t xml:space="preserve">Sprint Review / Demo cho giảng viên: chọn sản phẩm → giỏ → thanh toán → xác nhận; trình bày Retrospective.</t>
  </si>
  <si>
    <t xml:space="preserve">—</t>
  </si>
  <si>
    <t xml:space="preserve">Chạy trọn luồng, có biên bản Retro.</t>
  </si>
  <si>
    <t xml:space="preserve">QUY TẮC CHUNG &amp; QUYẾT ĐỊNH THIẾT KẾ</t>
  </si>
  <si>
    <t xml:space="preserve">Quy tắc</t>
  </si>
  <si>
    <t xml:space="preserve">Mỗi người chỉ sửa thư mục module của mình. File dùng chung (schema.prisma, app.module.ts, main.ts, common/**, layout.tsx, api-client.ts) chỉ Chiến sửa; seed.ts do Lan; components/shell + globals.css do Quang Huy trong GĐ2.</t>
  </si>
  <si>
    <t xml:space="preserve">Không đổi contract trong docs/ mà chưa báo Chiến. Docs là nguồn sự thật cho agent code.</t>
  </si>
  <si>
    <t xml:space="preserve">Giá và tổng tiền do backend tính (PricingService); FE chỉ hiển thị. Chỉ OrderService.transition() được ghi Order.status.</t>
  </si>
  <si>
    <t xml:space="preserve">Giỏ hàng chỉ bị xóa khi thanh toán thành công (đơn PAID); mọi lỗi tạo đơn / thanh toán giữ nguyên giỏ.</t>
  </si>
  <si>
    <t xml:space="preserve">Mỗi PR vào develop có ít nhất 1 người khác review; không commit thẳng vào main; commit message rõ ràng.</t>
  </si>
  <si>
    <t xml:space="preserve">Cuối GĐ1: mỗi người có request curl (hoặc file .http) chạy được cho mọi endpoint của mình trước khi sang GĐ2.</t>
  </si>
  <si>
    <t xml:space="preserve">Chỉ viết test cho Task 10 — (a), (b), (c) ở GĐ3. Không viết test FE, không Playwright, không CI.</t>
  </si>
  <si>
    <t xml:space="preserve">Không có secret trong repo; .env chỉ có .env.example.</t>
  </si>
  <si>
    <t xml:space="preserve">Quyết định thiết kế (đã áp dụng trong docs)</t>
  </si>
  <si>
    <t xml:space="preserve">D1</t>
  </si>
  <si>
    <t xml:space="preserve">Thanh toán lỗi → PAYMENT_FAILED; thử lại PAYMENT_FAILED → PENDING bằng Idempotency-Key mới, không giới hạn lần.</t>
  </si>
  <si>
    <t xml:space="preserve">D2</t>
  </si>
  <si>
    <t xml:space="preserve">Giỏ chỉ xóa sau PAID; giỏ lưu pendingOrderId; giỏ đổi thì hủy đơn cũ và tạo đơn mới.</t>
  </si>
  <si>
    <t xml:space="preserve">D3</t>
  </si>
  <si>
    <t xml:space="preserve">GET /products/:id trả toàn bộ topping đang bán; Product dùng optimistic lock (version), Topping dùng cập nhật có điều kiện stock &gt;= quantity.</t>
  </si>
  <si>
    <t xml:space="preserve">D4</t>
  </si>
  <si>
    <t xml:space="preserve">req.user = { sub, email }; POST /orders không nhận userId.</t>
  </si>
  <si>
    <t xml:space="preserve">D5</t>
  </si>
  <si>
    <t xml:space="preserve">Số lượng mỗi dòng 1..99.</t>
  </si>
  <si>
    <t xml:space="preserve">D6</t>
  </si>
  <si>
    <t xml:space="preserve">Giữ 9 chuyển tiếp theo đề (kể cả PAID → CANCELLED ở state machine); thêm POST /orders/:id/cancel; không scheduler.</t>
  </si>
  <si>
    <t xml:space="preserve">D7</t>
  </si>
  <si>
    <t xml:space="preserve">promotionCode tùy chọn trong POST /orders; PromotionsService.validate tính giảm giá.</t>
  </si>
  <si>
    <t xml:space="preserve">D8</t>
  </si>
  <si>
    <t xml:space="preserve">Mock gateway điều khiển bằng header X-Mock-Outcome (chỉ khi NODE_ENV ≠ production); công tắc demo ở FE.</t>
  </si>
  <si>
    <t xml:space="preserve">D9</t>
  </si>
  <si>
    <t xml:space="preserve">1 điểm / 1.000đ finalAmount (làm tròn xuống), chỉ cộng điểm, idempotent theo đơn.</t>
  </si>
  <si>
    <t xml:space="preserve">ĐỐI CHIẾU 10 TASK CỦA ĐỀ</t>
  </si>
  <si>
    <t xml:space="preserve">Task đề</t>
  </si>
  <si>
    <t xml:space="preserve">Tên task</t>
  </si>
  <si>
    <t xml:space="preserve">Owner chính</t>
  </si>
  <si>
    <t xml:space="preserve">Task trong sheet Phan_cong</t>
  </si>
  <si>
    <t xml:space="preserve">Số task</t>
  </si>
  <si>
    <t xml:space="preserve">Trạng thái</t>
  </si>
  <si>
    <t xml:space="preserve">Khởi tạo dự án và cấu trúc</t>
  </si>
  <si>
    <t xml:space="preserve">GD1-02, GD3-04</t>
  </si>
  <si>
    <t xml:space="preserve">API danh sách sản phẩm</t>
  </si>
  <si>
    <t xml:space="preserve">GD1-03, GD1-04</t>
  </si>
  <si>
    <t xml:space="preserve">Trang Menu (Frontend)</t>
  </si>
  <si>
    <t xml:space="preserve">Chi tiết và tùy chọn sản phẩm</t>
  </si>
  <si>
    <t xml:space="preserve">GD1-06, GD2-06</t>
  </si>
  <si>
    <t xml:space="preserve">Giỏ hàng (Cart)</t>
  </si>
  <si>
    <t xml:space="preserve">API tạo đơn hàng</t>
  </si>
  <si>
    <t xml:space="preserve">GD1-09, GD2-08</t>
  </si>
  <si>
    <t xml:space="preserve">Đăng ký / Đăng nhập (JWT)</t>
  </si>
  <si>
    <t xml:space="preserve">GD1-01, GD2-01</t>
  </si>
  <si>
    <t xml:space="preserve">Thanh toán không tiền mặt</t>
  </si>
  <si>
    <t xml:space="preserve">GD1-10, GD2-09</t>
  </si>
  <si>
    <t xml:space="preserve">Xác nhận, lịch sử đơn &amp; bàn giao</t>
  </si>
  <si>
    <t xml:space="preserve">GD1-11, GD2-03, GD3-04, GD3-08</t>
  </si>
  <si>
    <t xml:space="preserve">Nghiệp vụ backend (a)(b)(c)</t>
  </si>
  <si>
    <t xml:space="preserve">Hạnh / Kiệt / Hào</t>
  </si>
  <si>
    <t xml:space="preserve">GD1-08, GD1-10, GD3-01, GD3-02, GD3-03</t>
  </si>
  <si>
    <t xml:space="preserve">Tổng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</si>
</sst>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80"/>
    <col collapsed="false" customWidth="true" hidden="false" outlineLevel="0" max="5" min="5" style="0" width="38"/>
    <col collapsed="false" customWidth="true" hidden="false" outlineLevel="0" max="6" min="6" style="0" width="42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str">
        <f aca="false">COUNTIF(G7:G60,"Xong")&amp;" / "&amp;COUNTA(B7:B60)</f>
        <v>0 / 29</v>
      </c>
    </row>
    <row r="6" customFormat="false" ht="23.8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customFormat="false" ht="15" hidden="false" customHeight="false" outlineLevel="0" collapsed="false">
      <c r="A7" s="6" t="s">
        <v>10</v>
      </c>
      <c r="B7" s="6"/>
      <c r="C7" s="6"/>
      <c r="D7" s="6"/>
      <c r="E7" s="6"/>
      <c r="F7" s="6"/>
      <c r="G7" s="6"/>
    </row>
    <row r="8" customFormat="false" ht="23.85" hidden="false" customHeight="false" outlineLevel="0" collapsed="false">
      <c r="A8" s="7" t="s">
        <v>11</v>
      </c>
      <c r="B8" s="7" t="s">
        <v>12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17</v>
      </c>
    </row>
    <row r="9" customFormat="false" ht="46.25" hidden="false" customHeight="false" outlineLevel="0" collapsed="false">
      <c r="A9" s="7" t="s">
        <v>11</v>
      </c>
      <c r="B9" s="7" t="s">
        <v>18</v>
      </c>
      <c r="C9" s="7" t="s">
        <v>13</v>
      </c>
      <c r="D9" s="7" t="s">
        <v>19</v>
      </c>
      <c r="E9" s="7" t="s">
        <v>20</v>
      </c>
      <c r="F9" s="7" t="s">
        <v>21</v>
      </c>
      <c r="G9" s="7" t="s">
        <v>17</v>
      </c>
    </row>
    <row r="10" customFormat="false" ht="23.85" hidden="false" customHeight="false" outlineLevel="0" collapsed="false">
      <c r="A10" s="7" t="s">
        <v>11</v>
      </c>
      <c r="B10" s="7" t="s">
        <v>22</v>
      </c>
      <c r="C10" s="7" t="s">
        <v>23</v>
      </c>
      <c r="D10" s="7" t="s">
        <v>24</v>
      </c>
      <c r="E10" s="7" t="s">
        <v>25</v>
      </c>
      <c r="F10" s="7" t="s">
        <v>26</v>
      </c>
      <c r="G10" s="7" t="s">
        <v>17</v>
      </c>
    </row>
    <row r="11" customFormat="false" ht="23.85" hidden="false" customHeight="false" outlineLevel="0" collapsed="false">
      <c r="A11" s="7" t="s">
        <v>11</v>
      </c>
      <c r="B11" s="7" t="s">
        <v>27</v>
      </c>
      <c r="C11" s="7" t="s">
        <v>23</v>
      </c>
      <c r="D11" s="7" t="s">
        <v>28</v>
      </c>
      <c r="E11" s="7" t="s">
        <v>29</v>
      </c>
      <c r="F11" s="7" t="s">
        <v>30</v>
      </c>
      <c r="G11" s="7" t="s">
        <v>17</v>
      </c>
    </row>
    <row r="12" customFormat="false" ht="35.05" hidden="false" customHeight="false" outlineLevel="0" collapsed="false">
      <c r="A12" s="7" t="s">
        <v>11</v>
      </c>
      <c r="B12" s="7" t="s">
        <v>31</v>
      </c>
      <c r="C12" s="7" t="s">
        <v>23</v>
      </c>
      <c r="D12" s="7" t="s">
        <v>32</v>
      </c>
      <c r="E12" s="7" t="s">
        <v>33</v>
      </c>
      <c r="F12" s="7" t="s">
        <v>34</v>
      </c>
      <c r="G12" s="7" t="s">
        <v>17</v>
      </c>
    </row>
    <row r="13" customFormat="false" ht="23.85" hidden="false" customHeight="false" outlineLevel="0" collapsed="false">
      <c r="A13" s="7" t="s">
        <v>11</v>
      </c>
      <c r="B13" s="7" t="s">
        <v>35</v>
      </c>
      <c r="C13" s="7" t="s">
        <v>36</v>
      </c>
      <c r="D13" s="7" t="s">
        <v>37</v>
      </c>
      <c r="E13" s="7" t="s">
        <v>38</v>
      </c>
      <c r="F13" s="7" t="s">
        <v>39</v>
      </c>
      <c r="G13" s="7" t="s">
        <v>17</v>
      </c>
    </row>
    <row r="14" customFormat="false" ht="23.85" hidden="false" customHeight="false" outlineLevel="0" collapsed="false">
      <c r="A14" s="7" t="s">
        <v>11</v>
      </c>
      <c r="B14" s="7" t="s">
        <v>40</v>
      </c>
      <c r="C14" s="7" t="s">
        <v>36</v>
      </c>
      <c r="D14" s="7" t="s">
        <v>41</v>
      </c>
      <c r="E14" s="7" t="s">
        <v>42</v>
      </c>
      <c r="F14" s="7" t="s">
        <v>43</v>
      </c>
      <c r="G14" s="7" t="s">
        <v>17</v>
      </c>
    </row>
    <row r="15" customFormat="false" ht="35.05" hidden="false" customHeight="false" outlineLevel="0" collapsed="false">
      <c r="A15" s="7" t="s">
        <v>11</v>
      </c>
      <c r="B15" s="7" t="s">
        <v>44</v>
      </c>
      <c r="C15" s="7" t="s">
        <v>45</v>
      </c>
      <c r="D15" s="7" t="s">
        <v>46</v>
      </c>
      <c r="E15" s="7" t="s">
        <v>47</v>
      </c>
      <c r="F15" s="7" t="s">
        <v>48</v>
      </c>
      <c r="G15" s="7" t="s">
        <v>17</v>
      </c>
    </row>
    <row r="16" customFormat="false" ht="46.25" hidden="false" customHeight="false" outlineLevel="0" collapsed="false">
      <c r="A16" s="7" t="s">
        <v>11</v>
      </c>
      <c r="B16" s="7" t="s">
        <v>49</v>
      </c>
      <c r="C16" s="7" t="s">
        <v>45</v>
      </c>
      <c r="D16" s="7" t="s">
        <v>50</v>
      </c>
      <c r="E16" s="7" t="s">
        <v>51</v>
      </c>
      <c r="F16" s="7" t="s">
        <v>52</v>
      </c>
      <c r="G16" s="7" t="s">
        <v>17</v>
      </c>
    </row>
    <row r="17" customFormat="false" ht="57.45" hidden="false" customHeight="false" outlineLevel="0" collapsed="false">
      <c r="A17" s="7" t="s">
        <v>11</v>
      </c>
      <c r="B17" s="7" t="s">
        <v>53</v>
      </c>
      <c r="C17" s="7" t="s">
        <v>54</v>
      </c>
      <c r="D17" s="7" t="s">
        <v>55</v>
      </c>
      <c r="E17" s="7" t="s">
        <v>56</v>
      </c>
      <c r="F17" s="7" t="s">
        <v>57</v>
      </c>
      <c r="G17" s="7" t="s">
        <v>17</v>
      </c>
    </row>
    <row r="18" customFormat="false" ht="23.85" hidden="false" customHeight="false" outlineLevel="0" collapsed="false">
      <c r="A18" s="7" t="s">
        <v>11</v>
      </c>
      <c r="B18" s="7" t="s">
        <v>58</v>
      </c>
      <c r="C18" s="7" t="s">
        <v>59</v>
      </c>
      <c r="D18" s="7" t="s">
        <v>60</v>
      </c>
      <c r="E18" s="7" t="s">
        <v>61</v>
      </c>
      <c r="F18" s="7" t="s">
        <v>62</v>
      </c>
      <c r="G18" s="7" t="s">
        <v>17</v>
      </c>
    </row>
    <row r="19" customFormat="false" ht="23.85" hidden="false" customHeight="false" outlineLevel="0" collapsed="false">
      <c r="A19" s="7" t="s">
        <v>11</v>
      </c>
      <c r="B19" s="7" t="s">
        <v>63</v>
      </c>
      <c r="C19" s="7" t="s">
        <v>64</v>
      </c>
      <c r="D19" s="7" t="s">
        <v>65</v>
      </c>
      <c r="E19" s="7" t="s">
        <v>66</v>
      </c>
      <c r="F19" s="7" t="s">
        <v>67</v>
      </c>
      <c r="G19" s="7" t="s">
        <v>17</v>
      </c>
    </row>
    <row r="20" customFormat="false" ht="15" hidden="false" customHeight="false" outlineLevel="0" collapsed="false">
      <c r="A20" s="8" t="s">
        <v>68</v>
      </c>
      <c r="B20" s="8"/>
      <c r="C20" s="8"/>
      <c r="D20" s="8"/>
      <c r="E20" s="8"/>
      <c r="F20" s="8"/>
      <c r="G20" s="8"/>
    </row>
    <row r="21" customFormat="false" ht="23.85" hidden="false" customHeight="false" outlineLevel="0" collapsed="false">
      <c r="A21" s="7" t="s">
        <v>69</v>
      </c>
      <c r="B21" s="7" t="s">
        <v>70</v>
      </c>
      <c r="C21" s="7" t="s">
        <v>13</v>
      </c>
      <c r="D21" s="7" t="s">
        <v>71</v>
      </c>
      <c r="E21" s="7" t="s">
        <v>72</v>
      </c>
      <c r="F21" s="7" t="s">
        <v>73</v>
      </c>
      <c r="G21" s="7" t="s">
        <v>17</v>
      </c>
    </row>
    <row r="22" customFormat="false" ht="23.85" hidden="false" customHeight="false" outlineLevel="0" collapsed="false">
      <c r="A22" s="7" t="s">
        <v>69</v>
      </c>
      <c r="B22" s="7" t="s">
        <v>74</v>
      </c>
      <c r="C22" s="7" t="s">
        <v>59</v>
      </c>
      <c r="D22" s="7" t="s">
        <v>75</v>
      </c>
      <c r="E22" s="7" t="s">
        <v>76</v>
      </c>
      <c r="F22" s="7" t="s">
        <v>77</v>
      </c>
      <c r="G22" s="7" t="s">
        <v>17</v>
      </c>
    </row>
    <row r="23" customFormat="false" ht="23.85" hidden="false" customHeight="false" outlineLevel="0" collapsed="false">
      <c r="A23" s="7" t="s">
        <v>69</v>
      </c>
      <c r="B23" s="7" t="s">
        <v>78</v>
      </c>
      <c r="C23" s="7" t="s">
        <v>59</v>
      </c>
      <c r="D23" s="7" t="s">
        <v>79</v>
      </c>
      <c r="E23" s="7" t="s">
        <v>80</v>
      </c>
      <c r="F23" s="7" t="s">
        <v>81</v>
      </c>
      <c r="G23" s="7" t="s">
        <v>17</v>
      </c>
    </row>
    <row r="24" customFormat="false" ht="23.85" hidden="false" customHeight="false" outlineLevel="0" collapsed="false">
      <c r="A24" s="7" t="s">
        <v>69</v>
      </c>
      <c r="B24" s="7" t="s">
        <v>82</v>
      </c>
      <c r="C24" s="7" t="s">
        <v>23</v>
      </c>
      <c r="D24" s="7" t="s">
        <v>83</v>
      </c>
      <c r="E24" s="7" t="s">
        <v>84</v>
      </c>
      <c r="F24" s="7" t="s">
        <v>85</v>
      </c>
      <c r="G24" s="7" t="s">
        <v>17</v>
      </c>
    </row>
    <row r="25" customFormat="false" ht="23.85" hidden="false" customHeight="false" outlineLevel="0" collapsed="false">
      <c r="A25" s="7" t="s">
        <v>69</v>
      </c>
      <c r="B25" s="7" t="s">
        <v>86</v>
      </c>
      <c r="C25" s="7" t="s">
        <v>23</v>
      </c>
      <c r="D25" s="7" t="s">
        <v>87</v>
      </c>
      <c r="E25" s="7" t="s">
        <v>88</v>
      </c>
      <c r="F25" s="7" t="s">
        <v>89</v>
      </c>
      <c r="G25" s="7" t="s">
        <v>17</v>
      </c>
    </row>
    <row r="26" customFormat="false" ht="23.85" hidden="false" customHeight="false" outlineLevel="0" collapsed="false">
      <c r="A26" s="7" t="s">
        <v>69</v>
      </c>
      <c r="B26" s="7" t="s">
        <v>90</v>
      </c>
      <c r="C26" s="7" t="s">
        <v>36</v>
      </c>
      <c r="D26" s="7" t="s">
        <v>91</v>
      </c>
      <c r="E26" s="7" t="s">
        <v>92</v>
      </c>
      <c r="F26" s="7" t="s">
        <v>93</v>
      </c>
      <c r="G26" s="7" t="s">
        <v>17</v>
      </c>
    </row>
    <row r="27" customFormat="false" ht="35.05" hidden="false" customHeight="false" outlineLevel="0" collapsed="false">
      <c r="A27" s="7" t="s">
        <v>69</v>
      </c>
      <c r="B27" s="7" t="s">
        <v>94</v>
      </c>
      <c r="C27" s="7" t="s">
        <v>64</v>
      </c>
      <c r="D27" s="7" t="s">
        <v>95</v>
      </c>
      <c r="E27" s="7" t="s">
        <v>96</v>
      </c>
      <c r="F27" s="7" t="s">
        <v>97</v>
      </c>
      <c r="G27" s="7" t="s">
        <v>17</v>
      </c>
    </row>
    <row r="28" customFormat="false" ht="23.85" hidden="false" customHeight="false" outlineLevel="0" collapsed="false">
      <c r="A28" s="7" t="s">
        <v>69</v>
      </c>
      <c r="B28" s="7" t="s">
        <v>98</v>
      </c>
      <c r="C28" s="7" t="s">
        <v>45</v>
      </c>
      <c r="D28" s="7" t="s">
        <v>99</v>
      </c>
      <c r="E28" s="7" t="s">
        <v>100</v>
      </c>
      <c r="F28" s="7" t="s">
        <v>101</v>
      </c>
      <c r="G28" s="7" t="s">
        <v>17</v>
      </c>
    </row>
    <row r="29" customFormat="false" ht="35.05" hidden="false" customHeight="false" outlineLevel="0" collapsed="false">
      <c r="A29" s="7" t="s">
        <v>69</v>
      </c>
      <c r="B29" s="7" t="s">
        <v>102</v>
      </c>
      <c r="C29" s="7" t="s">
        <v>54</v>
      </c>
      <c r="D29" s="7" t="s">
        <v>103</v>
      </c>
      <c r="E29" s="7" t="s">
        <v>104</v>
      </c>
      <c r="F29" s="7" t="s">
        <v>105</v>
      </c>
      <c r="G29" s="7" t="s">
        <v>17</v>
      </c>
    </row>
    <row r="30" customFormat="false" ht="15" hidden="false" customHeight="false" outlineLevel="0" collapsed="false">
      <c r="A30" s="9" t="s">
        <v>106</v>
      </c>
      <c r="B30" s="9"/>
      <c r="C30" s="9"/>
      <c r="D30" s="9"/>
      <c r="E30" s="9"/>
      <c r="F30" s="9"/>
      <c r="G30" s="9"/>
    </row>
    <row r="31" customFormat="false" ht="23.85" hidden="false" customHeight="false" outlineLevel="0" collapsed="false">
      <c r="A31" s="7" t="s">
        <v>107</v>
      </c>
      <c r="B31" s="7" t="s">
        <v>108</v>
      </c>
      <c r="C31" s="7" t="s">
        <v>45</v>
      </c>
      <c r="D31" s="7" t="s">
        <v>109</v>
      </c>
      <c r="E31" s="7" t="s">
        <v>110</v>
      </c>
      <c r="F31" s="7" t="s">
        <v>111</v>
      </c>
      <c r="G31" s="7" t="s">
        <v>17</v>
      </c>
    </row>
    <row r="32" customFormat="false" ht="23.85" hidden="false" customHeight="false" outlineLevel="0" collapsed="false">
      <c r="A32" s="7" t="s">
        <v>107</v>
      </c>
      <c r="B32" s="7" t="s">
        <v>112</v>
      </c>
      <c r="C32" s="7" t="s">
        <v>54</v>
      </c>
      <c r="D32" s="7" t="s">
        <v>113</v>
      </c>
      <c r="E32" s="7" t="s">
        <v>114</v>
      </c>
      <c r="F32" s="7" t="s">
        <v>115</v>
      </c>
      <c r="G32" s="7" t="s">
        <v>17</v>
      </c>
    </row>
    <row r="33" customFormat="false" ht="23.85" hidden="false" customHeight="false" outlineLevel="0" collapsed="false">
      <c r="A33" s="7" t="s">
        <v>107</v>
      </c>
      <c r="B33" s="7" t="s">
        <v>116</v>
      </c>
      <c r="C33" s="7" t="s">
        <v>64</v>
      </c>
      <c r="D33" s="7" t="s">
        <v>117</v>
      </c>
      <c r="E33" s="7" t="s">
        <v>118</v>
      </c>
      <c r="F33" s="7" t="s">
        <v>119</v>
      </c>
      <c r="G33" s="7" t="s">
        <v>17</v>
      </c>
    </row>
    <row r="34" customFormat="false" ht="35.05" hidden="false" customHeight="false" outlineLevel="0" collapsed="false">
      <c r="A34" s="7" t="s">
        <v>107</v>
      </c>
      <c r="B34" s="7" t="s">
        <v>120</v>
      </c>
      <c r="C34" s="7" t="s">
        <v>13</v>
      </c>
      <c r="D34" s="7" t="s">
        <v>121</v>
      </c>
      <c r="E34" s="7" t="s">
        <v>122</v>
      </c>
      <c r="F34" s="7" t="s">
        <v>123</v>
      </c>
      <c r="G34" s="7" t="s">
        <v>17</v>
      </c>
    </row>
    <row r="35" customFormat="false" ht="23.85" hidden="false" customHeight="false" outlineLevel="0" collapsed="false">
      <c r="A35" s="7" t="s">
        <v>107</v>
      </c>
      <c r="B35" s="7" t="s">
        <v>124</v>
      </c>
      <c r="C35" s="7" t="s">
        <v>23</v>
      </c>
      <c r="D35" s="7" t="s">
        <v>125</v>
      </c>
      <c r="E35" s="7" t="s">
        <v>126</v>
      </c>
      <c r="F35" s="7" t="s">
        <v>127</v>
      </c>
      <c r="G35" s="7" t="s">
        <v>17</v>
      </c>
    </row>
    <row r="36" customFormat="false" ht="23.85" hidden="false" customHeight="false" outlineLevel="0" collapsed="false">
      <c r="A36" s="7" t="s">
        <v>107</v>
      </c>
      <c r="B36" s="7" t="s">
        <v>128</v>
      </c>
      <c r="C36" s="7" t="s">
        <v>59</v>
      </c>
      <c r="D36" s="7" t="s">
        <v>129</v>
      </c>
      <c r="E36" s="7" t="s">
        <v>130</v>
      </c>
      <c r="F36" s="7" t="s">
        <v>131</v>
      </c>
      <c r="G36" s="7" t="s">
        <v>17</v>
      </c>
    </row>
    <row r="37" customFormat="false" ht="23.85" hidden="false" customHeight="false" outlineLevel="0" collapsed="false">
      <c r="A37" s="7" t="s">
        <v>107</v>
      </c>
      <c r="B37" s="7" t="s">
        <v>132</v>
      </c>
      <c r="C37" s="7" t="s">
        <v>36</v>
      </c>
      <c r="D37" s="7" t="s">
        <v>133</v>
      </c>
      <c r="E37" s="7" t="s">
        <v>134</v>
      </c>
      <c r="F37" s="7" t="s">
        <v>135</v>
      </c>
      <c r="G37" s="7" t="s">
        <v>17</v>
      </c>
    </row>
    <row r="38" customFormat="false" ht="23.85" hidden="false" customHeight="false" outlineLevel="0" collapsed="false">
      <c r="A38" s="7" t="s">
        <v>107</v>
      </c>
      <c r="B38" s="7" t="s">
        <v>136</v>
      </c>
      <c r="C38" s="7" t="s">
        <v>137</v>
      </c>
      <c r="D38" s="7" t="s">
        <v>138</v>
      </c>
      <c r="E38" s="7" t="s">
        <v>139</v>
      </c>
      <c r="F38" s="7" t="s">
        <v>140</v>
      </c>
      <c r="G38" s="7" t="s">
        <v>17</v>
      </c>
    </row>
  </sheetData>
  <conditionalFormatting sqref="G7:G38">
    <cfRule type="cellIs" priority="2" operator="equal" aboveAverage="0" equalAverage="0" bottom="0" percent="0" rank="0" text="" dxfId="0">
      <formula>"Xong"</formula>
    </cfRule>
    <cfRule type="cellIs" priority="3" operator="equal" aboveAverage="0" equalAverage="0" bottom="0" percent="0" rank="0" text="" dxfId="1">
      <formula>"Đang làm"</formula>
    </cfRule>
  </conditionalFormatting>
  <dataValidations count="1">
    <dataValidation allowBlank="false" errorStyle="stop" operator="between" showDropDown="false" showErrorMessage="false" showInputMessage="false" sqref="G8:G19 G21:G29 G31:G38" type="list">
      <formula1>"Chưa làm,Đang làm,Xong"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141</v>
      </c>
    </row>
    <row r="3" customFormat="false" ht="15" hidden="false" customHeight="false" outlineLevel="0" collapsed="false">
      <c r="A3" s="3" t="s">
        <v>142</v>
      </c>
    </row>
    <row r="4" customFormat="false" ht="23.85" hidden="false" customHeight="false" outlineLevel="0" collapsed="false">
      <c r="A4" s="10" t="n">
        <v>1</v>
      </c>
      <c r="B4" s="11" t="s">
        <v>143</v>
      </c>
    </row>
    <row r="5" customFormat="false" ht="15" hidden="false" customHeight="false" outlineLevel="0" collapsed="false">
      <c r="A5" s="10" t="n">
        <v>2</v>
      </c>
      <c r="B5" s="11" t="s">
        <v>144</v>
      </c>
    </row>
    <row r="6" customFormat="false" ht="15" hidden="false" customHeight="false" outlineLevel="0" collapsed="false">
      <c r="A6" s="10" t="n">
        <v>3</v>
      </c>
      <c r="B6" s="11" t="s">
        <v>145</v>
      </c>
    </row>
    <row r="7" customFormat="false" ht="15" hidden="false" customHeight="false" outlineLevel="0" collapsed="false">
      <c r="A7" s="10" t="n">
        <v>4</v>
      </c>
      <c r="B7" s="11" t="s">
        <v>146</v>
      </c>
    </row>
    <row r="8" customFormat="false" ht="15" hidden="false" customHeight="false" outlineLevel="0" collapsed="false">
      <c r="A8" s="10" t="n">
        <v>5</v>
      </c>
      <c r="B8" s="11" t="s">
        <v>147</v>
      </c>
    </row>
    <row r="9" customFormat="false" ht="15" hidden="false" customHeight="false" outlineLevel="0" collapsed="false">
      <c r="A9" s="10" t="n">
        <v>6</v>
      </c>
      <c r="B9" s="11" t="s">
        <v>148</v>
      </c>
    </row>
    <row r="10" customFormat="false" ht="15" hidden="false" customHeight="false" outlineLevel="0" collapsed="false">
      <c r="A10" s="10" t="n">
        <v>7</v>
      </c>
      <c r="B10" s="11" t="s">
        <v>149</v>
      </c>
    </row>
    <row r="11" customFormat="false" ht="15" hidden="false" customHeight="false" outlineLevel="0" collapsed="false">
      <c r="A11" s="10" t="n">
        <v>8</v>
      </c>
      <c r="B11" s="11" t="s">
        <v>150</v>
      </c>
    </row>
    <row r="13" customFormat="false" ht="15" hidden="false" customHeight="false" outlineLevel="0" collapsed="false">
      <c r="A13" s="3" t="s">
        <v>151</v>
      </c>
    </row>
    <row r="14" customFormat="false" ht="15" hidden="false" customHeight="false" outlineLevel="0" collapsed="false">
      <c r="A14" s="3" t="s">
        <v>152</v>
      </c>
      <c r="B14" s="11" t="s">
        <v>153</v>
      </c>
    </row>
    <row r="15" customFormat="false" ht="15" hidden="false" customHeight="false" outlineLevel="0" collapsed="false">
      <c r="A15" s="3" t="s">
        <v>154</v>
      </c>
      <c r="B15" s="11" t="s">
        <v>155</v>
      </c>
    </row>
    <row r="16" customFormat="false" ht="15" hidden="false" customHeight="false" outlineLevel="0" collapsed="false">
      <c r="A16" s="3" t="s">
        <v>156</v>
      </c>
      <c r="B16" s="11" t="s">
        <v>157</v>
      </c>
    </row>
    <row r="17" customFormat="false" ht="15" hidden="false" customHeight="false" outlineLevel="0" collapsed="false">
      <c r="A17" s="3" t="s">
        <v>158</v>
      </c>
      <c r="B17" s="11" t="s">
        <v>159</v>
      </c>
    </row>
    <row r="18" customFormat="false" ht="15" hidden="false" customHeight="false" outlineLevel="0" collapsed="false">
      <c r="A18" s="3" t="s">
        <v>160</v>
      </c>
      <c r="B18" s="11" t="s">
        <v>161</v>
      </c>
    </row>
    <row r="19" customFormat="false" ht="15" hidden="false" customHeight="false" outlineLevel="0" collapsed="false">
      <c r="A19" s="3" t="s">
        <v>162</v>
      </c>
      <c r="B19" s="11" t="s">
        <v>163</v>
      </c>
    </row>
    <row r="20" customFormat="false" ht="15" hidden="false" customHeight="false" outlineLevel="0" collapsed="false">
      <c r="A20" s="3" t="s">
        <v>164</v>
      </c>
      <c r="B20" s="11" t="s">
        <v>165</v>
      </c>
    </row>
    <row r="21" customFormat="false" ht="15" hidden="false" customHeight="false" outlineLevel="0" collapsed="false">
      <c r="A21" s="3" t="s">
        <v>166</v>
      </c>
      <c r="B21" s="11" t="s">
        <v>167</v>
      </c>
    </row>
    <row r="22" customFormat="false" ht="15" hidden="false" customHeight="false" outlineLevel="0" collapsed="false">
      <c r="A22" s="3" t="s">
        <v>168</v>
      </c>
      <c r="B22" s="11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170</v>
      </c>
    </row>
    <row r="3" customFormat="false" ht="15" hidden="false" customHeight="false" outlineLevel="0" collapsed="false">
      <c r="A3" s="12" t="s">
        <v>171</v>
      </c>
      <c r="B3" s="12" t="s">
        <v>172</v>
      </c>
      <c r="C3" s="12" t="s">
        <v>173</v>
      </c>
      <c r="D3" s="12" t="s">
        <v>174</v>
      </c>
      <c r="E3" s="12" t="s">
        <v>175</v>
      </c>
      <c r="F3" s="12" t="s">
        <v>176</v>
      </c>
    </row>
    <row r="4" customFormat="false" ht="15" hidden="false" customHeight="false" outlineLevel="0" collapsed="false">
      <c r="A4" s="7" t="n">
        <v>1</v>
      </c>
      <c r="B4" s="7" t="s">
        <v>177</v>
      </c>
      <c r="C4" s="7" t="s">
        <v>13</v>
      </c>
      <c r="D4" s="7" t="s">
        <v>178</v>
      </c>
      <c r="E4" s="7" t="n">
        <f aca="false">LEN(D4)-LEN(SUBSTITUTE(D4,",",""))+1</f>
        <v>2</v>
      </c>
      <c r="F4" s="7" t="str">
        <f aca="false">IF(E4&gt;0,"Đã phủ","THIẾU")</f>
        <v>Đã phủ</v>
      </c>
    </row>
    <row r="5" customFormat="false" ht="15" hidden="false" customHeight="false" outlineLevel="0" collapsed="false">
      <c r="A5" s="7" t="n">
        <v>2</v>
      </c>
      <c r="B5" s="7" t="s">
        <v>179</v>
      </c>
      <c r="C5" s="7" t="s">
        <v>23</v>
      </c>
      <c r="D5" s="7" t="s">
        <v>180</v>
      </c>
      <c r="E5" s="7" t="n">
        <f aca="false">LEN(D5)-LEN(SUBSTITUTE(D5,",",""))+1</f>
        <v>2</v>
      </c>
      <c r="F5" s="7" t="str">
        <f aca="false">IF(E5&gt;0,"Đã phủ","THIẾU")</f>
        <v>Đã phủ</v>
      </c>
    </row>
    <row r="6" customFormat="false" ht="15" hidden="false" customHeight="false" outlineLevel="0" collapsed="false">
      <c r="A6" s="7" t="n">
        <v>3</v>
      </c>
      <c r="B6" s="7" t="s">
        <v>181</v>
      </c>
      <c r="C6" s="7" t="s">
        <v>23</v>
      </c>
      <c r="D6" s="7" t="s">
        <v>82</v>
      </c>
      <c r="E6" s="7" t="n">
        <f aca="false">LEN(D6)-LEN(SUBSTITUTE(D6,",",""))+1</f>
        <v>1</v>
      </c>
      <c r="F6" s="7" t="str">
        <f aca="false">IF(E6&gt;0,"Đã phủ","THIẾU")</f>
        <v>Đã phủ</v>
      </c>
    </row>
    <row r="7" customFormat="false" ht="15" hidden="false" customHeight="false" outlineLevel="0" collapsed="false">
      <c r="A7" s="7" t="n">
        <v>4</v>
      </c>
      <c r="B7" s="7" t="s">
        <v>182</v>
      </c>
      <c r="C7" s="7" t="s">
        <v>36</v>
      </c>
      <c r="D7" s="7" t="s">
        <v>183</v>
      </c>
      <c r="E7" s="7" t="n">
        <f aca="false">LEN(D7)-LEN(SUBSTITUTE(D7,",",""))+1</f>
        <v>2</v>
      </c>
      <c r="F7" s="7" t="str">
        <f aca="false">IF(E7&gt;0,"Đã phủ","THIẾU")</f>
        <v>Đã phủ</v>
      </c>
    </row>
    <row r="8" customFormat="false" ht="15" hidden="false" customHeight="false" outlineLevel="0" collapsed="false">
      <c r="A8" s="7" t="n">
        <v>5</v>
      </c>
      <c r="B8" s="7" t="s">
        <v>184</v>
      </c>
      <c r="C8" s="7" t="s">
        <v>64</v>
      </c>
      <c r="D8" s="7" t="s">
        <v>94</v>
      </c>
      <c r="E8" s="7" t="n">
        <f aca="false">LEN(D8)-LEN(SUBSTITUTE(D8,",",""))+1</f>
        <v>1</v>
      </c>
      <c r="F8" s="7" t="str">
        <f aca="false">IF(E8&gt;0,"Đã phủ","THIẾU")</f>
        <v>Đã phủ</v>
      </c>
    </row>
    <row r="9" customFormat="false" ht="15" hidden="false" customHeight="false" outlineLevel="0" collapsed="false">
      <c r="A9" s="7" t="n">
        <v>6</v>
      </c>
      <c r="B9" s="7" t="s">
        <v>185</v>
      </c>
      <c r="C9" s="7" t="s">
        <v>45</v>
      </c>
      <c r="D9" s="7" t="s">
        <v>186</v>
      </c>
      <c r="E9" s="7" t="n">
        <f aca="false">LEN(D9)-LEN(SUBSTITUTE(D9,",",""))+1</f>
        <v>2</v>
      </c>
      <c r="F9" s="7" t="str">
        <f aca="false">IF(E9&gt;0,"Đã phủ","THIẾU")</f>
        <v>Đã phủ</v>
      </c>
    </row>
    <row r="10" customFormat="false" ht="15" hidden="false" customHeight="false" outlineLevel="0" collapsed="false">
      <c r="A10" s="7" t="n">
        <v>7</v>
      </c>
      <c r="B10" s="7" t="s">
        <v>187</v>
      </c>
      <c r="C10" s="7" t="s">
        <v>13</v>
      </c>
      <c r="D10" s="7" t="s">
        <v>188</v>
      </c>
      <c r="E10" s="7" t="n">
        <f aca="false">LEN(D10)-LEN(SUBSTITUTE(D10,",",""))+1</f>
        <v>2</v>
      </c>
      <c r="F10" s="7" t="str">
        <f aca="false">IF(E10&gt;0,"Đã phủ","THIẾU")</f>
        <v>Đã phủ</v>
      </c>
    </row>
    <row r="11" customFormat="false" ht="15" hidden="false" customHeight="false" outlineLevel="0" collapsed="false">
      <c r="A11" s="7" t="n">
        <v>8</v>
      </c>
      <c r="B11" s="7" t="s">
        <v>189</v>
      </c>
      <c r="C11" s="7" t="s">
        <v>54</v>
      </c>
      <c r="D11" s="7" t="s">
        <v>190</v>
      </c>
      <c r="E11" s="7" t="n">
        <f aca="false">LEN(D11)-LEN(SUBSTITUTE(D11,",",""))+1</f>
        <v>2</v>
      </c>
      <c r="F11" s="7" t="str">
        <f aca="false">IF(E11&gt;0,"Đã phủ","THIẾU")</f>
        <v>Đã phủ</v>
      </c>
    </row>
    <row r="12" customFormat="false" ht="15" hidden="false" customHeight="false" outlineLevel="0" collapsed="false">
      <c r="A12" s="7" t="n">
        <v>9</v>
      </c>
      <c r="B12" s="7" t="s">
        <v>191</v>
      </c>
      <c r="C12" s="7" t="s">
        <v>59</v>
      </c>
      <c r="D12" s="7" t="s">
        <v>192</v>
      </c>
      <c r="E12" s="7" t="n">
        <f aca="false">LEN(D12)-LEN(SUBSTITUTE(D12,",",""))+1</f>
        <v>4</v>
      </c>
      <c r="F12" s="7" t="str">
        <f aca="false">IF(E12&gt;0,"Đã phủ","THIẾU")</f>
        <v>Đã phủ</v>
      </c>
    </row>
    <row r="13" customFormat="false" ht="15" hidden="false" customHeight="false" outlineLevel="0" collapsed="false">
      <c r="A13" s="7" t="n">
        <v>10</v>
      </c>
      <c r="B13" s="7" t="s">
        <v>193</v>
      </c>
      <c r="C13" s="7" t="s">
        <v>194</v>
      </c>
      <c r="D13" s="7" t="s">
        <v>195</v>
      </c>
      <c r="E13" s="7" t="n">
        <f aca="false">LEN(D13)-LEN(SUBSTITUTE(D13,",",""))+1</f>
        <v>5</v>
      </c>
      <c r="F13" s="7" t="str">
        <f aca="false">IF(E13&gt;0,"Đã phủ","THIẾU")</f>
        <v>Đã phủ</v>
      </c>
    </row>
    <row r="14" customFormat="false" ht="15" hidden="false" customHeight="false" outlineLevel="0" collapsed="false">
      <c r="A14" s="3" t="s">
        <v>196</v>
      </c>
      <c r="F14" s="3" t="str">
        <f aca="false">IF(COUNTIF(F4:F13,"THIẾU")=0,"Đủ 10/10","Còn thiếu")</f>
        <v>Đủ 10/10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2026-10-18T10:44:53Z</dcterms:created>
  <dc:creator>openpyxl</dc:creator>
  <dc:description/>
  <dc:language>en-US</dc:language>
  <cp:lastModifiedBy/>
  <dcterms:modified xsi:type="dcterms:W3CDTF">2026-10-18T10:44:53Z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