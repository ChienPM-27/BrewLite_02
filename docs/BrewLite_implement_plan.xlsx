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han_cong" sheetId="1" state="visible" r:id="rId1"/>
    <sheet name="Quy_tac" sheetId="2" state="visible" r:id="rId2"/>
    <sheet name="Doi_chieu_10_task" sheetId="3" state="visible" r:id="rId3"/>
    <sheet name="CR_NguyenLieu_Admin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sz val="10"/>
    </font>
    <font>
      <name val="Arial"/>
      <b val="1"/>
      <color rgb="001F3864"/>
      <sz val="14"/>
    </font>
    <font>
      <name val="Arial"/>
      <color rgb="00333333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1F3864"/>
      <sz val="10"/>
    </font>
    <font>
      <name val="Arial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E2EFDA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E2EFDA"/>
      </patternFill>
    </fill>
    <fill>
      <patternFill patternType="solid">
        <fgColor rgb="001F3864"/>
        <bgColor rgb="001F3864"/>
      </patternFill>
    </fill>
    <fill>
      <patternFill patternType="solid">
        <fgColor rgb="00DDEBF7"/>
        <bgColor rgb="00DDEBF7"/>
      </patternFill>
    </fill>
    <fill>
      <patternFill patternType="solid">
        <fgColor rgb="00F9FBFD"/>
        <bgColor rgb="00F9FBFD"/>
      </patternFill>
    </fill>
    <fill>
      <patternFill patternType="solid">
        <fgColor rgb="00E2EFDA"/>
        <bgColor rgb="00E2EFDA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general" vertical="bottom"/>
    </xf>
    <xf numFmtId="0" fontId="9" fillId="0" borderId="1" applyAlignment="1" pivotButton="0" quotePrefix="0" xfId="0">
      <alignment horizontal="general" vertical="top" wrapText="1"/>
    </xf>
    <xf numFmtId="0" fontId="6" fillId="4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/>
    </xf>
    <xf numFmtId="0" fontId="8" fillId="2" borderId="1" applyAlignment="1" pivotButton="0" quotePrefix="0" xfId="0">
      <alignment horizontal="center" vertical="bottom" wrapText="1"/>
    </xf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6" borderId="0" applyAlignment="1" pivotButton="0" quotePrefix="0" xfId="0">
      <alignment horizontal="center" vertical="center" wrapText="1"/>
    </xf>
    <xf numFmtId="0" fontId="14" fillId="7" borderId="0" applyAlignment="1" pivotButton="0" quotePrefix="0" xfId="0">
      <alignment horizontal="left" vertical="center"/>
    </xf>
    <xf numFmtId="0" fontId="15" fillId="8" borderId="2" applyAlignment="1" pivotButton="0" quotePrefix="0" xfId="0">
      <alignment horizontal="center" vertical="top" wrapText="1"/>
    </xf>
    <xf numFmtId="0" fontId="12" fillId="8" borderId="2" applyAlignment="1" pivotButton="0" quotePrefix="0" xfId="0">
      <alignment horizontal="center" vertical="top" wrapText="1"/>
    </xf>
    <xf numFmtId="0" fontId="15" fillId="8" borderId="2" applyAlignment="1" pivotButton="0" quotePrefix="0" xfId="0">
      <alignment horizontal="left" vertical="top" wrapText="1"/>
    </xf>
    <xf numFmtId="0" fontId="15" fillId="0" borderId="2" applyAlignment="1" pivotButton="0" quotePrefix="0" xfId="0">
      <alignment horizontal="center" vertical="top" wrapText="1"/>
    </xf>
    <xf numFmtId="0" fontId="12" fillId="0" borderId="2" applyAlignment="1" pivotButton="0" quotePrefix="0" xfId="0">
      <alignment horizontal="center" vertical="top" wrapText="1"/>
    </xf>
    <xf numFmtId="0" fontId="15" fillId="0" borderId="2" applyAlignment="1" pivotButton="0" quotePrefix="0" xfId="0">
      <alignment horizontal="left" vertical="top" wrapText="1"/>
    </xf>
    <xf numFmtId="0" fontId="12" fillId="9" borderId="2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G3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3" min="1" max="1"/>
    <col width="9" customWidth="1" style="13" min="2" max="2"/>
    <col width="12" customWidth="1" style="13" min="3" max="3"/>
    <col width="80" customWidth="1" style="13" min="4" max="4"/>
    <col width="38" customWidth="1" style="13" min="5" max="5"/>
    <col width="42" customWidth="1" style="13" min="6" max="6"/>
    <col width="11" customWidth="1" style="13" min="7" max="7"/>
  </cols>
  <sheetData>
    <row r="1" ht="17.35" customHeight="1" s="14">
      <c r="A1" s="15" t="inlineStr">
        <is>
          <t>BREWLITE — PHÂN CÔNG (3 GIAI ĐOẠN)</t>
        </is>
      </c>
    </row>
    <row r="2" ht="15" customHeight="1" s="14">
      <c r="A2" s="16" t="inlineStr">
        <is>
          <t>GĐ1 Backend → GĐ2 Frontend → GĐ3 Tích hợp + bàn giao. Mỗi người code (kèm agent) theo docs/ của feature mình; chỉ sửa thư mục của mình. Chi tiết quy tắc ở sheet Quy_tac.</t>
        </is>
      </c>
    </row>
    <row r="3" ht="15" customHeight="1" s="14">
      <c r="A3" s="17" t="inlineStr">
        <is>
          <t>Tiến độ (số task Xong):</t>
        </is>
      </c>
      <c r="C3" s="18">
        <f>COUNTIF(G7:G60,"Xong")&amp;" / "&amp;COUNTA(B7:B60)</f>
        <v/>
      </c>
    </row>
    <row r="6" ht="23.85" customHeight="1" s="14">
      <c r="A6" s="19" t="inlineStr">
        <is>
          <t>Giai đoạn</t>
        </is>
      </c>
      <c r="B6" s="19" t="inlineStr">
        <is>
          <t>ID</t>
        </is>
      </c>
      <c r="C6" s="19" t="inlineStr">
        <is>
          <t>Người</t>
        </is>
      </c>
      <c r="D6" s="19" t="inlineStr">
        <is>
          <t>Việc cần làm</t>
        </is>
      </c>
      <c r="E6" s="19" t="inlineStr">
        <is>
          <t>File / thư mục</t>
        </is>
      </c>
      <c r="F6" s="19" t="inlineStr">
        <is>
          <t>Xong khi</t>
        </is>
      </c>
      <c r="G6" s="19" t="inlineStr">
        <is>
          <t>Status</t>
        </is>
      </c>
    </row>
    <row r="7" ht="15" customHeight="1" s="14">
      <c r="A7" s="20" t="inlineStr">
        <is>
          <t>GIAI ĐOẠN 1 — BACKEND (song song; cuối GĐ1 mỗi người có request curl chạy được cho endpoint của mình)</t>
        </is>
      </c>
      <c r="B7" s="20" t="n"/>
      <c r="C7" s="20" t="n"/>
      <c r="D7" s="20" t="n"/>
      <c r="E7" s="20" t="n"/>
      <c r="F7" s="20" t="n"/>
      <c r="G7" s="20" t="n"/>
    </row>
    <row r="8" ht="23.85" customHeight="1" s="14">
      <c r="A8" s="21" t="inlineStr">
        <is>
          <t>GĐ1</t>
        </is>
      </c>
      <c r="B8" s="21" t="inlineStr">
        <is>
          <t>GD1-01</t>
        </is>
      </c>
      <c r="C8" s="21" t="inlineStr">
        <is>
          <t>Chiến</t>
        </is>
      </c>
      <c r="D8" s="21" t="inlineStr">
        <is>
          <t>Auth: POST /auth/register, /auth/login (bcrypt, JWT), JwtAuthGuard, req.user = { sub, email }.</t>
        </is>
      </c>
      <c r="E8" s="21" t="inlineStr">
        <is>
          <t>backend/src/modules/auth/**</t>
        </is>
      </c>
      <c r="F8" s="21" t="inlineStr">
        <is>
          <t>Sai mật khẩu → 401; email trùng → 409; thiếu/hết hạn token → 401; không lưu plaintext password.</t>
        </is>
      </c>
      <c r="G8" s="21" t="inlineStr">
        <is>
          <t>Chưa làm</t>
        </is>
      </c>
    </row>
    <row r="9" ht="46.25" customHeight="1" s="14">
      <c r="A9" s="21" t="inlineStr">
        <is>
          <t>GĐ1</t>
        </is>
      </c>
      <c r="B9" s="21" t="inlineStr">
        <is>
          <t>GD1-02</t>
        </is>
      </c>
      <c r="C9" s="21" t="inlineStr">
        <is>
          <t>Chiến</t>
        </is>
      </c>
      <c r="D9" s="21" t="inlineStr">
        <is>
          <t>Nền chung (làm NGÀY 1): sửa AllExceptionsFilter (không lộ lỗi nội bộ, Prisma P2002→409, P2025→404); migration OrderStatusHistory.fromStatus nullable; 1 endpoint /health; cài jest cho backend; đăng ký sẵn module trong app.module.ts; chốt chữ ký hàm chung (calculate / transition / validate).</t>
        </is>
      </c>
      <c r="E9" s="21" t="inlineStr">
        <is>
          <t>backend/prisma/schema.prisma, migrations, common/**, app.module.ts, main.ts</t>
        </is>
      </c>
      <c r="F9" s="21" t="inlineStr">
        <is>
          <t>`npm run build` + `npm test` chạy được trên máy sạch; mọi người pull và code tiếp không chờ nhau.</t>
        </is>
      </c>
      <c r="G9" s="21" t="inlineStr">
        <is>
          <t>Chưa làm</t>
        </is>
      </c>
    </row>
    <row r="10" ht="23.85" customHeight="1" s="14">
      <c r="A10" s="21" t="inlineStr">
        <is>
          <t>GĐ1</t>
        </is>
      </c>
      <c r="B10" s="21" t="inlineStr">
        <is>
          <t>GD1-03</t>
        </is>
      </c>
      <c r="C10" s="21" t="inlineStr">
        <is>
          <t>Lan</t>
        </is>
      </c>
      <c r="D10" s="21" t="inlineStr">
        <is>
          <t>Seed (làm NGÀY 1, merge sớm): ≥10 sản phẩm có ảnh, 3 topping, ≥2 mã khuyến mãi (giảm % có trần + giảm cố định, có mức tối thiểu), user demo, 1 sản phẩm tồn kho thấp.</t>
        </is>
      </c>
      <c r="E10" s="21" t="inlineStr">
        <is>
          <t>backend/prisma/seed.ts</t>
        </is>
      </c>
      <c r="F10" s="21" t="inlineStr">
        <is>
          <t>`prisma db seed` chạy 2 lần liên tiếp không lỗi.</t>
        </is>
      </c>
      <c r="G10" s="21" t="inlineStr">
        <is>
          <t>Chưa làm</t>
        </is>
      </c>
    </row>
    <row r="11" ht="23.85" customHeight="1" s="14">
      <c r="A11" s="21" t="inlineStr">
        <is>
          <t>GĐ1</t>
        </is>
      </c>
      <c r="B11" s="21" t="inlineStr">
        <is>
          <t>GD1-04</t>
        </is>
      </c>
      <c r="C11" s="21" t="inlineStr">
        <is>
          <t>Lan</t>
        </is>
      </c>
      <c r="D11" s="21" t="inlineStr">
        <is>
          <t>GET /products bằng Prisma: chỉ sản phẩm đang bán, KHÔNG trả stock, rỗng trả [].</t>
        </is>
      </c>
      <c r="E11" s="21" t="inlineStr">
        <is>
          <t>modules/products/products.controller.ts, products.service.ts</t>
        </is>
      </c>
      <c r="F11" s="21" t="inlineStr">
        <is>
          <t>Khớp docs/product-catalog/api-contract; không lộ stock.</t>
        </is>
      </c>
      <c r="G11" s="21" t="inlineStr">
        <is>
          <t>Chưa làm</t>
        </is>
      </c>
    </row>
    <row r="12" ht="35.05" customHeight="1" s="14">
      <c r="A12" s="21" t="inlineStr">
        <is>
          <t>GĐ1</t>
        </is>
      </c>
      <c r="B12" s="21" t="inlineStr">
        <is>
          <t>GD1-05</t>
        </is>
      </c>
      <c r="C12" s="21" t="inlineStr">
        <is>
          <t>Lan</t>
        </is>
      </c>
      <c r="D12" s="21" t="inlineStr">
        <is>
          <t>PromotionsService.validate(code, totalAmount) → { promotionId, discountAmount } hoặc 400 (hết hạn, chưa tới hạn, dưới mức tối thiểu, mã sai; không âm). LoyaltyService.award(tx, order): floor(finalAmount/1000) điểm, idempotent theo orderId.</t>
        </is>
      </c>
      <c r="E12" s="21" t="inlineStr">
        <is>
          <t>modules/promotions/**, modules/loyalty/**</t>
        </is>
      </c>
      <c r="F12" s="21" t="inlineStr">
        <is>
          <t>Gọi 2 lần chỉ cộng điểm 1 lần; giảm giá không làm finalAmount &lt; 0.</t>
        </is>
      </c>
      <c r="G12" s="21" t="inlineStr">
        <is>
          <t>Chưa làm</t>
        </is>
      </c>
    </row>
    <row r="13" ht="23.85" customHeight="1" s="14">
      <c r="A13" s="21" t="inlineStr">
        <is>
          <t>GĐ1</t>
        </is>
      </c>
      <c r="B13" s="21" t="inlineStr">
        <is>
          <t>GD1-06</t>
        </is>
      </c>
      <c r="C13" s="21" t="inlineStr">
        <is>
          <t>Vũ Huy</t>
        </is>
      </c>
      <c r="D13" s="21" t="inlineStr">
        <is>
          <t>PricingService.calculate (nguồn giá duy nhất: unitPrice, lineTotal) + GET /products/:id (giá theo size, topping đang bán, 404, cờ hết hàng).</t>
        </is>
      </c>
      <c r="E13" s="21" t="inlineStr">
        <is>
          <t>modules/pricing/**, modules/products/product-detail.*</t>
        </is>
      </c>
      <c r="F13" s="21" t="inlineStr">
        <is>
          <t>Ví dụ giá S/M/L × 0–3 topping khớp docs; id sai → 404.</t>
        </is>
      </c>
      <c r="G13" s="21" t="inlineStr">
        <is>
          <t>Chưa làm</t>
        </is>
      </c>
    </row>
    <row r="14" ht="23.85" customHeight="1" s="14">
      <c r="A14" s="21" t="inlineStr">
        <is>
          <t>GĐ1</t>
        </is>
      </c>
      <c r="B14" s="21" t="inlineStr">
        <is>
          <t>GD1-07</t>
        </is>
      </c>
      <c r="C14" s="21" t="inlineStr">
        <is>
          <t>Vũ Huy</t>
        </is>
      </c>
      <c r="D14" s="21" t="inlineStr">
        <is>
          <t>POST /orders/:id/cancel: chỉ chủ đơn (khác chủ → 404); chỉ từ PENDING/PAYMENT_FAILED (còn lại → 409); hoàn kho Product + Topping trong cùng transaction; gọi OrderService.transition().</t>
        </is>
      </c>
      <c r="E14" s="21" t="inlineStr">
        <is>
          <t>modules/orders/cancel/**</t>
        </is>
      </c>
      <c r="F14" s="21" t="inlineStr">
        <is>
          <t>Hủy 2 lần → 409; tồn kho trở lại đúng.</t>
        </is>
      </c>
      <c r="G14" s="21" t="inlineStr">
        <is>
          <t>Chưa làm</t>
        </is>
      </c>
    </row>
    <row r="15" ht="35.05" customHeight="1" s="14">
      <c r="A15" s="21" t="inlineStr">
        <is>
          <t>GĐ1</t>
        </is>
      </c>
      <c r="B15" s="21" t="inlineStr">
        <is>
          <t>GD1-08</t>
        </is>
      </c>
      <c r="C15" s="21" t="inlineStr">
        <is>
          <t>Hạnh</t>
        </is>
      </c>
      <c r="D15" s="21" t="inlineStr">
        <is>
          <t>OrderService.transition() = chỗ DUY NHẤT ghi Order.status (assertTransition theo 9 chuyển tiếp, cập nhật có điều kiện theo version, ghi OrderStatusHistory). Push stub chữ ký lên ngày 1 để Kiệt / Vũ Huy gọi được.</t>
        </is>
      </c>
      <c r="E15" s="21" t="inlineStr">
        <is>
          <t>modules/orders/order.service.ts, order-state.ts</t>
        </is>
      </c>
      <c r="F15" s="21" t="inlineStr">
        <is>
          <t>Chuyển sai → 409; COMPLETED/CANCELLED không đi tiếp.</t>
        </is>
      </c>
      <c r="G15" s="21" t="inlineStr">
        <is>
          <t>Chưa làm</t>
        </is>
      </c>
    </row>
    <row r="16" ht="46.25" customHeight="1" s="14">
      <c r="A16" s="21" t="inlineStr">
        <is>
          <t>GĐ1</t>
        </is>
      </c>
      <c r="B16" s="21" t="inlineStr">
        <is>
          <t>GD1-09</t>
        </is>
      </c>
      <c r="C16" s="21" t="inlineStr">
        <is>
          <t>Hạnh</t>
        </is>
      </c>
      <c r="D16" s="21" t="inlineStr">
        <is>
          <t>POST /orders: JwtAuthGuard, DTO validate (items không rỗng, quantity 1..99, topping ≤3 không trùng, promotionCode tùy chọn, không nhận userId), dùng PricingService + PromotionsService, transaction: trừ kho Product (optimistic lock theo version) + Topping (stock &gt;= quantity), tạo Order PENDING + OrderItem + lịch sử.</t>
        </is>
      </c>
      <c r="E16" s="21" t="inlineStr">
        <is>
          <t>modules/orders/** (trừ cancel, history)</t>
        </is>
      </c>
      <c r="F16" s="21" t="inlineStr">
        <is>
          <t>Server tự tính tiền; lỗi giữa chừng → rollback; hết hàng → 400; trả mã đơn.</t>
        </is>
      </c>
      <c r="G16" s="21" t="inlineStr">
        <is>
          <t>Chưa làm</t>
        </is>
      </c>
    </row>
    <row r="17" ht="57.45" customHeight="1" s="14">
      <c r="A17" s="21" t="inlineStr">
        <is>
          <t>GĐ1</t>
        </is>
      </c>
      <c r="B17" s="21" t="inlineStr">
        <is>
          <t>GD1-10</t>
        </is>
      </c>
      <c r="C17" s="21" t="inlineStr">
        <is>
          <t>Kiệt</t>
        </is>
      </c>
      <c r="D17" s="21" t="inlineStr">
        <is>
          <t>MockGateway (X-Mock-Outcome chỉ đọc khi NODE_ENV ≠ production) + POST /payments: header Idempotency-Key bắt buộc, body { orderId, method }; chủ đơn (404), trạng thái PENDING/PAYMENT_FAILED (409); thành công → PAID + cộng điểm (LoyaltyService.award); lỗi → PAYMENT_FAILED; thử lại bằng key mới; cùng key cùng nội dung → trả kết quả cũ; cùng key khác nội dung → 409.</t>
        </is>
      </c>
      <c r="E17" s="21" t="inlineStr">
        <is>
          <t>modules/payments/**</t>
        </is>
      </c>
      <c r="F17" s="21" t="inlineStr">
        <is>
          <t>Replay không tạo Payment mới; không 500 khi trùng key; chỉ gọi transition() để đổi trạng thái.</t>
        </is>
      </c>
      <c r="G17" s="21" t="inlineStr">
        <is>
          <t>Chưa làm</t>
        </is>
      </c>
    </row>
    <row r="18" ht="23.85" customHeight="1" s="14">
      <c r="A18" s="21" t="inlineStr">
        <is>
          <t>GĐ1</t>
        </is>
      </c>
      <c r="B18" s="21" t="inlineStr">
        <is>
          <t>GD1-11</t>
        </is>
      </c>
      <c r="C18" s="21" t="inlineStr">
        <is>
          <t>Quang Huy</t>
        </is>
      </c>
      <c r="D18" s="21" t="inlineStr">
        <is>
          <t>GET /orders/me: lọc theo req.user.sub, mới nhất trước, phân trang, kèm items + trạng thái thanh toán.</t>
        </is>
      </c>
      <c r="E18" s="21" t="inlineStr">
        <is>
          <t>modules/orders/history/**</t>
        </is>
      </c>
      <c r="F18" s="21" t="inlineStr">
        <is>
          <t>User A không đọc được đơn của user B.</t>
        </is>
      </c>
      <c r="G18" s="21" t="inlineStr">
        <is>
          <t>Chưa làm</t>
        </is>
      </c>
    </row>
    <row r="19" ht="23.85" customHeight="1" s="14">
      <c r="A19" s="21" t="inlineStr">
        <is>
          <t>GĐ1</t>
        </is>
      </c>
      <c r="B19" s="21" t="inlineStr">
        <is>
          <t>GD1-12</t>
        </is>
      </c>
      <c r="C19" s="21" t="inlineStr">
        <is>
          <t>Hào</t>
        </is>
      </c>
      <c r="D19" s="21" t="inlineStr">
        <is>
          <t>Script bắn N request song song POST /orders (dùng cho test (c)) + curl thử luồng Orders/Payments của Hạnh, Kiệt và báo lỗi cho đúng owner.</t>
        </is>
      </c>
      <c r="E19" s="21" t="inlineStr">
        <is>
          <t>backend/test/helpers/**</t>
        </is>
      </c>
      <c r="F19" s="21" t="inlineStr">
        <is>
          <t>1 lệnh chạy được; in số đơn thành công/thất bại và tồn kho cuối.</t>
        </is>
      </c>
      <c r="G19" s="21" t="inlineStr">
        <is>
          <t>Chưa làm</t>
        </is>
      </c>
    </row>
    <row r="20" ht="15" customHeight="1" s="14">
      <c r="A20" s="22" t="inlineStr">
        <is>
          <t>GIAI ĐOẠN 2 — FRONTEND (song song; nối API thật; mọi màn dùng tốt ở 375px, có loading / empty / error)</t>
        </is>
      </c>
      <c r="B20" s="22" t="n"/>
      <c r="C20" s="22" t="n"/>
      <c r="D20" s="22" t="n"/>
      <c r="E20" s="22" t="n"/>
      <c r="F20" s="22" t="n"/>
      <c r="G20" s="22" t="n"/>
    </row>
    <row r="21" ht="23.85" customHeight="1" s="14">
      <c r="A21" s="21" t="inlineStr">
        <is>
          <t>GĐ2</t>
        </is>
      </c>
      <c r="B21" s="21" t="inlineStr">
        <is>
          <t>GD2-01</t>
        </is>
      </c>
      <c r="C21" s="21" t="inlineStr">
        <is>
          <t>Chiến</t>
        </is>
      </c>
      <c r="D21" s="21" t="inlineStr">
        <is>
          <t>api-client (gắn Bearer, 401 → về login và giữ trang đích), Login/Register, route guard cho /checkout và /orders.</t>
        </is>
      </c>
      <c r="E21" s="21" t="inlineStr">
        <is>
          <t>frontend/src/app/(auth)/**, lib/api-client.ts</t>
        </is>
      </c>
      <c r="F21" s="21" t="inlineStr">
        <is>
          <t>Đăng ký / đăng nhập được; không báo thành công trước khi API trả.</t>
        </is>
      </c>
      <c r="G21" s="21" t="inlineStr">
        <is>
          <t>Chưa làm</t>
        </is>
      </c>
    </row>
    <row r="22" ht="23.85" customHeight="1" s="14">
      <c r="A22" s="21" t="inlineStr">
        <is>
          <t>GĐ2</t>
        </is>
      </c>
      <c r="B22" s="21" t="inlineStr">
        <is>
          <t>GD2-02</t>
        </is>
      </c>
      <c r="C22" s="21" t="inlineStr">
        <is>
          <t>Quang Huy</t>
        </is>
      </c>
      <c r="D22" s="21" t="inlineStr">
        <is>
          <t>(Làm đầu GĐ2, 1–2 ngày) AppShell + BottomNav (Menu / Giỏ có badge / Đơn), nối vào layout.tsx, design token trong globals.css.</t>
        </is>
      </c>
      <c r="E22" s="21" t="inlineStr">
        <is>
          <t>frontend/src/components/shell/**, layout.tsx, globals.css</t>
        </is>
      </c>
      <c r="F22" s="21" t="inlineStr">
        <is>
          <t>Hiển thị đúng 360–430px; badge lấy từ selector của Hào.</t>
        </is>
      </c>
      <c r="G22" s="21" t="inlineStr">
        <is>
          <t>Chưa làm</t>
        </is>
      </c>
    </row>
    <row r="23" ht="23.85" customHeight="1" s="14">
      <c r="A23" s="21" t="inlineStr">
        <is>
          <t>GĐ2</t>
        </is>
      </c>
      <c r="B23" s="21" t="inlineStr">
        <is>
          <t>GD2-03</t>
        </is>
      </c>
      <c r="C23" s="21" t="inlineStr">
        <is>
          <t>Quang Huy</t>
        </is>
      </c>
      <c r="D23" s="21" t="inlineStr">
        <is>
          <t>Trang /orders (lịch sử) + màn xác nhận đơn (mã đơn, trạng thái, tổng tiền, điểm tích lũy); nhãn trạng thái tiếng Việt cho 7 trạng thái.</t>
        </is>
      </c>
      <c r="E23" s="21" t="inlineStr">
        <is>
          <t>frontend/src/app/orders/**</t>
        </is>
      </c>
      <c r="F23" s="21" t="inlineStr">
        <is>
          <t>Dữ liệu từ API, không hardcode; đủ nhãn trạng thái.</t>
        </is>
      </c>
      <c r="G23" s="21" t="inlineStr">
        <is>
          <t>Chưa làm</t>
        </is>
      </c>
    </row>
    <row r="24" ht="23.85" customHeight="1" s="14">
      <c r="A24" s="21" t="inlineStr">
        <is>
          <t>GĐ2</t>
        </is>
      </c>
      <c r="B24" s="21" t="inlineStr">
        <is>
          <t>GD2-04</t>
        </is>
      </c>
      <c r="C24" s="21" t="inlineStr">
        <is>
          <t>Lan</t>
        </is>
      </c>
      <c r="D24" s="21" t="inlineStr">
        <is>
          <t>Trang /menu: lưới 2 cột, ProductCard (ảnh + fallback, tên, giá), loading / empty / error, link sang /products/[id].</t>
        </is>
      </c>
      <c r="E24" s="21" t="inlineStr">
        <is>
          <t>frontend/src/app/menu/**, components/product-card/**</t>
        </is>
      </c>
      <c r="F24" s="21" t="inlineStr">
        <is>
          <t>Không hardcode menu; tap target ≥ 44px.</t>
        </is>
      </c>
      <c r="G24" s="21" t="inlineStr">
        <is>
          <t>Chưa làm</t>
        </is>
      </c>
    </row>
    <row r="25" ht="23.85" customHeight="1" s="14">
      <c r="A25" s="21" t="inlineStr">
        <is>
          <t>GĐ2</t>
        </is>
      </c>
      <c r="B25" s="21" t="inlineStr">
        <is>
          <t>GD2-05</t>
        </is>
      </c>
      <c r="C25" s="21" t="inlineStr">
        <is>
          <t>Lan</t>
        </is>
      </c>
      <c r="D25" s="21" t="inlineStr">
        <is>
          <t>Ô nhập mã khuyến mãi ở checkout (component riêng): gửi promotionCode, hiển thị giảm giá và finalAmount, báo lỗi mã.</t>
        </is>
      </c>
      <c r="E25" s="21" t="inlineStr">
        <is>
          <t>components/checkout/PromoInput*</t>
        </is>
      </c>
      <c r="F25" s="21" t="inlineStr">
        <is>
          <t>Mã sai báo lỗi và giữ nguyên giỏ.</t>
        </is>
      </c>
      <c r="G25" s="21" t="inlineStr">
        <is>
          <t>Chưa làm</t>
        </is>
      </c>
    </row>
    <row r="26" ht="23.85" customHeight="1" s="14">
      <c r="A26" s="21" t="inlineStr">
        <is>
          <t>GĐ2</t>
        </is>
      </c>
      <c r="B26" s="21" t="inlineStr">
        <is>
          <t>GD2-06</t>
        </is>
      </c>
      <c r="C26" s="21" t="inlineStr">
        <is>
          <t>Vũ Huy</t>
        </is>
      </c>
      <c r="D26" s="21" t="inlineStr">
        <is>
          <t>Trang /products/[id]: chọn size, topping (≤3, không trùng), số lượng 1..99, giá tạm tính, 404 riêng; nút Thêm vào giỏ (gọi addItem của Hào); hiển thị lỗi hết hàng theo từng món.</t>
        </is>
      </c>
      <c r="E26" s="21" t="inlineStr">
        <is>
          <t>frontend/src/app/products/[id]/**, components/product-detail/**</t>
        </is>
      </c>
      <c r="F26" s="21" t="inlineStr">
        <is>
          <t>Giá đổi đúng theo lựa chọn; sửa số lượng hoặc xóa món để đặt lại được.</t>
        </is>
      </c>
      <c r="G26" s="21" t="inlineStr">
        <is>
          <t>Chưa làm</t>
        </is>
      </c>
    </row>
    <row r="27" ht="35.05" customHeight="1" s="14">
      <c r="A27" s="21" t="inlineStr">
        <is>
          <t>GĐ2</t>
        </is>
      </c>
      <c r="B27" s="21" t="inlineStr">
        <is>
          <t>GD2-07</t>
        </is>
      </c>
      <c r="C27" s="21" t="inlineStr">
        <is>
          <t>Hào</t>
        </is>
      </c>
      <c r="D27" s="21" t="inlineStr">
        <is>
          <t>Cart store (Zustand, persist): dòng = productId + size + toppingIds sắp xếp; add (gộp dòng), updateQty 1..99, remove, clearCart; total/badge; pendingOrderId. Cart UI (bottom-sheet hoặc trang giỏ), empty state, nút Thanh toán disabled khi rỗng.</t>
        </is>
      </c>
      <c r="E27" s="21" t="inlineStr">
        <is>
          <t>frontend/src/store/cart/**, components/cart/**</t>
        </is>
      </c>
      <c r="F27" s="21" t="inlineStr">
        <is>
          <t>Cùng cấu hình không nhân đôi dòng; đóng tab mở lại vẫn giữ giỏ.</t>
        </is>
      </c>
      <c r="G27" s="21" t="inlineStr">
        <is>
          <t>Chưa làm</t>
        </is>
      </c>
    </row>
    <row r="28" ht="23.85" customHeight="1" s="14">
      <c r="A28" s="21" t="inlineStr">
        <is>
          <t>GĐ2</t>
        </is>
      </c>
      <c r="B28" s="21" t="inlineStr">
        <is>
          <t>GD2-08</t>
        </is>
      </c>
      <c r="C28" s="21" t="inlineStr">
        <is>
          <t>Hạnh</t>
        </is>
      </c>
      <c r="D28" s="21" t="inlineStr">
        <is>
          <t>Trang /checkout: tóm tắt từ giỏ, gửi POST /orders, lưu pendingOrderId; giỏ không đổi → dùng lại đơn; giỏ đổi → hủy đơn cũ rồi tạo đơn mới; chặn bấm đúp; hiển thị lỗi 400/401.</t>
        </is>
      </c>
      <c r="E28" s="21" t="inlineStr">
        <is>
          <t>frontend/src/app/checkout/page*, components/checkout/**</t>
        </is>
      </c>
      <c r="F28" s="21" t="inlineStr">
        <is>
          <t>Không xóa giỏ khi tạo đơn; lỗi dễ hiểu.</t>
        </is>
      </c>
      <c r="G28" s="21" t="inlineStr">
        <is>
          <t>Chưa làm</t>
        </is>
      </c>
    </row>
    <row r="29" ht="35.05" customHeight="1" s="14">
      <c r="A29" s="21" t="inlineStr">
        <is>
          <t>GĐ2</t>
        </is>
      </c>
      <c r="B29" s="21" t="inlineStr">
        <is>
          <t>GD2-09</t>
        </is>
      </c>
      <c r="C29" s="21" t="inlineStr">
        <is>
          <t>Kiệt</t>
        </is>
      </c>
      <c r="D29" s="21" t="inlineStr">
        <is>
          <t>Màn thanh toán: chọn Ví/Thẻ, Idempotency-Key mới mỗi lượt thử (giữ key khi retry do lỗi mạng); thành công → clearCart + sang xác nhận; lỗi → giữ giỏ + nút Thử lại; công tắc demo (NEXT_PUBLIC_DEMO_MODE) gửi X-Mock-Outcome.</t>
        </is>
      </c>
      <c r="E29" s="21" t="inlineStr">
        <is>
          <t>frontend/src/app/checkout/payment/**, components/payment/**</t>
        </is>
      </c>
      <c r="F29" s="21" t="inlineStr">
        <is>
          <t>Demo được cả thành công và thất bại; giỏ chỉ xóa sau PAID.</t>
        </is>
      </c>
      <c r="G29" s="21" t="inlineStr">
        <is>
          <t>Chưa làm</t>
        </is>
      </c>
    </row>
    <row r="30" ht="15" customHeight="1" s="14">
      <c r="A30" s="23" t="inlineStr">
        <is>
          <t>GIAI ĐOẠN 3 — TÍCH HỢP + TEST TASK 10 + BÀN GIAO</t>
        </is>
      </c>
      <c r="B30" s="23" t="n"/>
      <c r="C30" s="23" t="n"/>
      <c r="D30" s="23" t="n"/>
      <c r="E30" s="23" t="n"/>
      <c r="F30" s="23" t="n"/>
      <c r="G30" s="23" t="n"/>
    </row>
    <row r="31" ht="23.85" customHeight="1" s="14">
      <c r="A31" s="21" t="inlineStr">
        <is>
          <t>GĐ3</t>
        </is>
      </c>
      <c r="B31" s="21" t="inlineStr">
        <is>
          <t>GD3-01</t>
        </is>
      </c>
      <c r="C31" s="21" t="inlineStr">
        <is>
          <t>Hạnh</t>
        </is>
      </c>
      <c r="D31" s="21" t="inlineStr">
        <is>
          <t>Test (a): chặn mọi chuyển trạng thái sai (kể cả PAID → PENDING, COMPLETED → *); chuyển hợp lệ ghi lịch sử.</t>
        </is>
      </c>
      <c r="E31" s="21" t="inlineStr">
        <is>
          <t>backend/test/state-machine.spec.ts</t>
        </is>
      </c>
      <c r="F31" s="21" t="inlineStr">
        <is>
          <t>Test pass.</t>
        </is>
      </c>
      <c r="G31" s="21" t="inlineStr">
        <is>
          <t>Chưa làm</t>
        </is>
      </c>
    </row>
    <row r="32" ht="23.85" customHeight="1" s="14">
      <c r="A32" s="21" t="inlineStr">
        <is>
          <t>GĐ3</t>
        </is>
      </c>
      <c r="B32" s="21" t="inlineStr">
        <is>
          <t>GD3-02</t>
        </is>
      </c>
      <c r="C32" s="21" t="inlineStr">
        <is>
          <t>Kiệt</t>
        </is>
      </c>
      <c r="D32" s="21" t="inlineStr">
        <is>
          <t>Test (b): gửi 2 lần (và 2 request song song) cùng Idempotency-Key chỉ tạo 1 Payment và 1 lần chuyển PAID; cùng key khác nội dung → 409.</t>
        </is>
      </c>
      <c r="E32" s="21" t="inlineStr">
        <is>
          <t>backend/test/idempotency.spec.ts</t>
        </is>
      </c>
      <c r="F32" s="21" t="inlineStr">
        <is>
          <t>Test pass; DB chỉ có 1 Payment.</t>
        </is>
      </c>
      <c r="G32" s="21" t="inlineStr">
        <is>
          <t>Chưa làm</t>
        </is>
      </c>
    </row>
    <row r="33" ht="23.85" customHeight="1" s="14">
      <c r="A33" s="21" t="inlineStr">
        <is>
          <t>GĐ3</t>
        </is>
      </c>
      <c r="B33" s="21" t="inlineStr">
        <is>
          <t>GD3-03</t>
        </is>
      </c>
      <c r="C33" s="21" t="inlineStr">
        <is>
          <t>Hào</t>
        </is>
      </c>
      <c r="D33" s="21" t="inlineStr">
        <is>
          <t>Test (c): N request song song vào sản phẩm tồn kho K → đúng K đơn thành công, còn lại 400, tồn kho không âm (lặp lại với topping).</t>
        </is>
      </c>
      <c r="E33" s="21" t="inlineStr">
        <is>
          <t>backend/test/concurrency.spec.ts</t>
        </is>
      </c>
      <c r="F33" s="21" t="inlineStr">
        <is>
          <t>Test pass; stock cuối = K − số đơn thành công.</t>
        </is>
      </c>
      <c r="G33" s="21" t="inlineStr">
        <is>
          <t>Chưa làm</t>
        </is>
      </c>
    </row>
    <row r="34" ht="35.05" customHeight="1" s="14">
      <c r="A34" s="21" t="inlineStr">
        <is>
          <t>GĐ3</t>
        </is>
      </c>
      <c r="B34" s="21" t="inlineStr">
        <is>
          <t>GD3-04</t>
        </is>
      </c>
      <c r="C34" s="21" t="inlineStr">
        <is>
          <t>Chiến</t>
        </is>
      </c>
      <c r="D34" s="21" t="inlineStr">
        <is>
          <t>Dockerfile backend + frontend, docker-compose đủ 3 dịch vụ (migrate + seed tự động); README chạy từ máy sạch + hướng dẫn mở trên điện thoại qua IP LAN; không secret trong repo; merge develop → main, gắn tag v1.0.</t>
        </is>
      </c>
      <c r="E34" s="21" t="inlineStr">
        <is>
          <t>backend/Dockerfile, frontend/Dockerfile, docker-compose.yml, README.md</t>
        </is>
      </c>
      <c r="F34" s="21" t="inlineStr">
        <is>
          <t>`docker compose up` trên máy sạch chạy đủ 3 dịch vụ.</t>
        </is>
      </c>
      <c r="G34" s="21" t="inlineStr">
        <is>
          <t>Chưa làm</t>
        </is>
      </c>
    </row>
    <row r="35" ht="23.85" customHeight="1" s="14">
      <c r="A35" s="21" t="inlineStr">
        <is>
          <t>GĐ3</t>
        </is>
      </c>
      <c r="B35" s="21" t="inlineStr">
        <is>
          <t>GD3-05</t>
        </is>
      </c>
      <c r="C35" s="21" t="inlineStr">
        <is>
          <t>Lan</t>
        </is>
      </c>
      <c r="D35" s="21" t="inlineStr">
        <is>
          <t>Kịch bản demo ~10 phút (tài khoản demo, mã khuyến mãi, thành công / thất bại / thử lại, reset dữ liệu nhanh) + Product Backlog, Sprint Backlog.</t>
        </is>
      </c>
      <c r="E35" s="21" t="inlineStr">
        <is>
          <t>docs/demo/**, docs/scrum/**</t>
        </is>
      </c>
      <c r="F35" s="21" t="inlineStr">
        <is>
          <t>Tập demo 2 lần không lỗi.</t>
        </is>
      </c>
      <c r="G35" s="21" t="inlineStr">
        <is>
          <t>Chưa làm</t>
        </is>
      </c>
    </row>
    <row r="36" ht="23.85" customHeight="1" s="14">
      <c r="A36" s="21" t="inlineStr">
        <is>
          <t>GĐ3</t>
        </is>
      </c>
      <c r="B36" s="21" t="inlineStr">
        <is>
          <t>GD3-06</t>
        </is>
      </c>
      <c r="C36" s="21" t="inlineStr">
        <is>
          <t>Quang Huy</t>
        </is>
      </c>
      <c r="D36" s="21" t="inlineStr">
        <is>
          <t>Burndown từng Sprint, nhật ký Daily Scrum, ghi chú Review / Retrospective; chạy thử demo trên điện thoại cùng Lan.</t>
        </is>
      </c>
      <c r="E36" s="21" t="inlineStr">
        <is>
          <t>docs/scrum/**</t>
        </is>
      </c>
      <c r="F36" s="21" t="inlineStr">
        <is>
          <t>Đủ artefact Scrum theo đề.</t>
        </is>
      </c>
      <c r="G36" s="21" t="inlineStr">
        <is>
          <t>Chưa làm</t>
        </is>
      </c>
    </row>
    <row r="37" ht="23.85" customHeight="1" s="14">
      <c r="A37" s="21" t="inlineStr">
        <is>
          <t>GĐ3</t>
        </is>
      </c>
      <c r="B37" s="21" t="inlineStr">
        <is>
          <t>GD3-07</t>
        </is>
      </c>
      <c r="C37" s="21" t="inlineStr">
        <is>
          <t>Vũ Huy</t>
        </is>
      </c>
      <c r="D37" s="21" t="inlineStr">
        <is>
          <t>Kiểm thử tay trên điện thoại (iOS Safari / Android Chrome, qua LAN): layout, bàn phím, tap target; ghi danh sách lỗi và giao đúng owner sửa.</t>
        </is>
      </c>
      <c r="E37" s="21" t="inlineStr">
        <is>
          <t>docs/bugs.md</t>
        </is>
      </c>
      <c r="F37" s="21" t="inlineStr">
        <is>
          <t>Không còn lỗi chặn luồng mua hàng.</t>
        </is>
      </c>
      <c r="G37" s="21" t="inlineStr">
        <is>
          <t>Chưa làm</t>
        </is>
      </c>
    </row>
    <row r="38" ht="23.85" customHeight="1" s="14">
      <c r="A38" s="21" t="inlineStr">
        <is>
          <t>GĐ3</t>
        </is>
      </c>
      <c r="B38" s="21" t="inlineStr">
        <is>
          <t>GD3-08</t>
        </is>
      </c>
      <c r="C38" s="21" t="inlineStr">
        <is>
          <t>Cả nhóm</t>
        </is>
      </c>
      <c r="D38" s="21" t="inlineStr">
        <is>
          <t>Sprint Review / Demo cho giảng viên: chọn sản phẩm → giỏ → thanh toán → xác nhận; trình bày Retrospective.</t>
        </is>
      </c>
      <c r="E38" s="21" t="inlineStr">
        <is>
          <t>—</t>
        </is>
      </c>
      <c r="F38" s="21" t="inlineStr">
        <is>
          <t>Chạy trọn luồng, có biên bản Retro.</t>
        </is>
      </c>
      <c r="G38" s="21" t="inlineStr">
        <is>
          <t>Chưa làm</t>
        </is>
      </c>
    </row>
  </sheetData>
  <conditionalFormatting sqref="G7:G38">
    <cfRule type="cellIs" rank="0" priority="2" equalAverage="0" operator="equal" aboveAverage="0" dxfId="0" text="" percent="0" bottom="0">
      <formula>"Xong"</formula>
    </cfRule>
    <cfRule type="cellIs" rank="0" priority="3" equalAverage="0" operator="equal" aboveAverage="0" dxfId="1" text="" percent="0" bottom="0">
      <formula>"Đang làm"</formula>
    </cfRule>
  </conditionalFormatting>
  <dataValidations count="1">
    <dataValidation sqref="G8:G19 G21:G29 G31:G38" showDropDown="0" showInputMessage="0" showErrorMessage="0" allowBlank="0" type="list" errorStyle="stop" operator="between">
      <formula1>"Chưa làm,Đang làm,Xong"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6" customWidth="1" style="13" min="1" max="1"/>
    <col width="120" customWidth="1" style="13" min="2" max="2"/>
  </cols>
  <sheetData>
    <row r="1" ht="17.35" customHeight="1" s="14">
      <c r="A1" s="15" t="inlineStr">
        <is>
          <t>QUY TẮC CHUNG &amp; QUYẾT ĐỊNH THIẾT KẾ</t>
        </is>
      </c>
    </row>
    <row r="3" ht="15" customHeight="1" s="14">
      <c r="A3" s="17" t="inlineStr">
        <is>
          <t>Quy tắc</t>
        </is>
      </c>
    </row>
    <row r="4" ht="23.85" customHeight="1" s="14">
      <c r="A4" s="24" t="n">
        <v>1</v>
      </c>
      <c r="B4" s="25" t="inlineStr">
        <is>
          <t>Mỗi người chỉ sửa thư mục module của mình. File dùng chung (schema.prisma, app.module.ts, main.ts, common/**, layout.tsx, api-client.ts) chỉ Chiến sửa; seed.ts do Lan; components/shell + globals.css do Quang Huy trong GĐ2.</t>
        </is>
      </c>
    </row>
    <row r="5" ht="15" customHeight="1" s="14">
      <c r="A5" s="24" t="n">
        <v>2</v>
      </c>
      <c r="B5" s="25" t="inlineStr">
        <is>
          <t>Không đổi contract trong docs/ mà chưa báo Chiến. Docs là nguồn sự thật cho agent code.</t>
        </is>
      </c>
    </row>
    <row r="6" ht="15" customHeight="1" s="14">
      <c r="A6" s="24" t="n">
        <v>3</v>
      </c>
      <c r="B6" s="25" t="inlineStr">
        <is>
          <t>Giá và tổng tiền do backend tính (PricingService); FE chỉ hiển thị. Chỉ OrderService.transition() được ghi Order.status.</t>
        </is>
      </c>
    </row>
    <row r="7" ht="15" customHeight="1" s="14">
      <c r="A7" s="24" t="n">
        <v>4</v>
      </c>
      <c r="B7" s="25" t="inlineStr">
        <is>
          <t>Giỏ hàng chỉ bị xóa khi thanh toán thành công (đơn PAID); mọi lỗi tạo đơn / thanh toán giữ nguyên giỏ.</t>
        </is>
      </c>
    </row>
    <row r="8" ht="15" customHeight="1" s="14">
      <c r="A8" s="24" t="n">
        <v>5</v>
      </c>
      <c r="B8" s="25" t="inlineStr">
        <is>
          <t>Mỗi PR vào develop có ít nhất 1 người khác review; không commit thẳng vào main; commit message rõ ràng.</t>
        </is>
      </c>
    </row>
    <row r="9" ht="15" customHeight="1" s="14">
      <c r="A9" s="24" t="n">
        <v>6</v>
      </c>
      <c r="B9" s="25" t="inlineStr">
        <is>
          <t>Cuối GĐ1: mỗi người có request curl (hoặc file .http) chạy được cho mọi endpoint của mình trước khi sang GĐ2.</t>
        </is>
      </c>
    </row>
    <row r="10" ht="15" customHeight="1" s="14">
      <c r="A10" s="24" t="n">
        <v>7</v>
      </c>
      <c r="B10" s="25" t="inlineStr">
        <is>
          <t>Chỉ viết test cho Task 10 — (a), (b), (c) ở GĐ3. Không viết test FE, không Playwright, không CI.</t>
        </is>
      </c>
    </row>
    <row r="11" ht="15" customHeight="1" s="14">
      <c r="A11" s="24" t="n">
        <v>8</v>
      </c>
      <c r="B11" s="25" t="inlineStr">
        <is>
          <t>Không có secret trong repo; .env chỉ có .env.example.</t>
        </is>
      </c>
    </row>
    <row r="13" ht="15" customHeight="1" s="14">
      <c r="A13" s="17" t="inlineStr">
        <is>
          <t>Quyết định thiết kế (đã áp dụng trong docs)</t>
        </is>
      </c>
    </row>
    <row r="14" ht="15" customHeight="1" s="14">
      <c r="A14" s="17" t="inlineStr">
        <is>
          <t>D1</t>
        </is>
      </c>
      <c r="B14" s="25" t="inlineStr">
        <is>
          <t>Thanh toán lỗi → PAYMENT_FAILED; thử lại PAYMENT_FAILED → PENDING bằng Idempotency-Key mới, không giới hạn lần.</t>
        </is>
      </c>
    </row>
    <row r="15" ht="15" customHeight="1" s="14">
      <c r="A15" s="17" t="inlineStr">
        <is>
          <t>D2</t>
        </is>
      </c>
      <c r="B15" s="25" t="inlineStr">
        <is>
          <t>Giỏ chỉ xóa sau PAID; giỏ lưu pendingOrderId; giỏ đổi thì hủy đơn cũ và tạo đơn mới.</t>
        </is>
      </c>
    </row>
    <row r="16" ht="15" customHeight="1" s="14">
      <c r="A16" s="17" t="inlineStr">
        <is>
          <t>D3</t>
        </is>
      </c>
      <c r="B16" s="25" t="inlineStr">
        <is>
          <t>GET /products/:id trả toàn bộ topping đang bán; Product dùng optimistic lock (version), Topping dùng cập nhật có điều kiện stock &gt;= quantity.</t>
        </is>
      </c>
    </row>
    <row r="17" ht="15" customHeight="1" s="14">
      <c r="A17" s="17" t="inlineStr">
        <is>
          <t>D4</t>
        </is>
      </c>
      <c r="B17" s="25" t="inlineStr">
        <is>
          <t>req.user = { sub, email }; POST /orders không nhận userId.</t>
        </is>
      </c>
    </row>
    <row r="18" ht="15" customHeight="1" s="14">
      <c r="A18" s="17" t="inlineStr">
        <is>
          <t>D5</t>
        </is>
      </c>
      <c r="B18" s="25" t="inlineStr">
        <is>
          <t>Số lượng mỗi dòng 1..99.</t>
        </is>
      </c>
    </row>
    <row r="19" ht="15" customHeight="1" s="14">
      <c r="A19" s="17" t="inlineStr">
        <is>
          <t>D6</t>
        </is>
      </c>
      <c r="B19" s="25" t="inlineStr">
        <is>
          <t>Giữ 9 chuyển tiếp theo đề (kể cả PAID → CANCELLED ở state machine); thêm POST /orders/:id/cancel; không scheduler.</t>
        </is>
      </c>
    </row>
    <row r="20" ht="15" customHeight="1" s="14">
      <c r="A20" s="17" t="inlineStr">
        <is>
          <t>D7</t>
        </is>
      </c>
      <c r="B20" s="25" t="inlineStr">
        <is>
          <t>promotionCode tùy chọn trong POST /orders; PromotionsService.validate tính giảm giá.</t>
        </is>
      </c>
    </row>
    <row r="21" ht="15" customHeight="1" s="14">
      <c r="A21" s="17" t="inlineStr">
        <is>
          <t>D8</t>
        </is>
      </c>
      <c r="B21" s="25" t="inlineStr">
        <is>
          <t>Mock gateway điều khiển bằng header X-Mock-Outcome (chỉ khi NODE_ENV ≠ production); công tắc demo ở FE.</t>
        </is>
      </c>
    </row>
    <row r="22" ht="15" customHeight="1" s="14">
      <c r="A22" s="17" t="inlineStr">
        <is>
          <t>D9</t>
        </is>
      </c>
      <c r="B22" s="25" t="inlineStr">
        <is>
          <t>1 điểm / 1.000đ finalAmount (làm tròn xuống), chỉ cộng điểm, idempotent theo đơn.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13" min="1" max="1"/>
    <col width="36" customWidth="1" style="13" min="2" max="2"/>
    <col width="20" customWidth="1" style="13" min="3" max="3"/>
    <col width="42" customWidth="1" style="13" min="4" max="4"/>
    <col width="9" customWidth="1" style="13" min="5" max="5"/>
    <col width="12" customWidth="1" style="13" min="6" max="6"/>
  </cols>
  <sheetData>
    <row r="1" ht="17.35" customHeight="1" s="14">
      <c r="A1" s="15" t="inlineStr">
        <is>
          <t>ĐỐI CHIẾU 10 TASK CỦA ĐỀ</t>
        </is>
      </c>
    </row>
    <row r="3" ht="15" customHeight="1" s="14">
      <c r="A3" s="26" t="inlineStr">
        <is>
          <t>Task đề</t>
        </is>
      </c>
      <c r="B3" s="26" t="inlineStr">
        <is>
          <t>Tên task</t>
        </is>
      </c>
      <c r="C3" s="26" t="inlineStr">
        <is>
          <t>Owner chính</t>
        </is>
      </c>
      <c r="D3" s="26" t="inlineStr">
        <is>
          <t>Task trong sheet Phan_cong</t>
        </is>
      </c>
      <c r="E3" s="26" t="inlineStr">
        <is>
          <t>Số task</t>
        </is>
      </c>
      <c r="F3" s="26" t="inlineStr">
        <is>
          <t>Trạng thái</t>
        </is>
      </c>
    </row>
    <row r="4" ht="15" customHeight="1" s="14">
      <c r="A4" s="21" t="n">
        <v>1</v>
      </c>
      <c r="B4" s="21" t="inlineStr">
        <is>
          <t>Khởi tạo dự án và cấu trúc</t>
        </is>
      </c>
      <c r="C4" s="21" t="inlineStr">
        <is>
          <t>Chiến</t>
        </is>
      </c>
      <c r="D4" s="21" t="inlineStr">
        <is>
          <t>GD1-02, GD3-04</t>
        </is>
      </c>
      <c r="E4" s="21">
        <f>LEN(D4)-LEN(SUBSTITUTE(D4,",",""))+1</f>
        <v/>
      </c>
      <c r="F4" s="21">
        <f>IF(E4&gt;0,"Đã phủ","THIẾU")</f>
        <v/>
      </c>
    </row>
    <row r="5" ht="15" customHeight="1" s="14">
      <c r="A5" s="21" t="n">
        <v>2</v>
      </c>
      <c r="B5" s="21" t="inlineStr">
        <is>
          <t>API danh sách sản phẩm</t>
        </is>
      </c>
      <c r="C5" s="21" t="inlineStr">
        <is>
          <t>Lan</t>
        </is>
      </c>
      <c r="D5" s="21" t="inlineStr">
        <is>
          <t>GD1-03, GD1-04</t>
        </is>
      </c>
      <c r="E5" s="21">
        <f>LEN(D5)-LEN(SUBSTITUTE(D5,",",""))+1</f>
        <v/>
      </c>
      <c r="F5" s="21">
        <f>IF(E5&gt;0,"Đã phủ","THIẾU")</f>
        <v/>
      </c>
    </row>
    <row r="6" ht="15" customHeight="1" s="14">
      <c r="A6" s="21" t="n">
        <v>3</v>
      </c>
      <c r="B6" s="21" t="inlineStr">
        <is>
          <t>Trang Menu (Frontend)</t>
        </is>
      </c>
      <c r="C6" s="21" t="inlineStr">
        <is>
          <t>Lan</t>
        </is>
      </c>
      <c r="D6" s="21" t="inlineStr">
        <is>
          <t>GD2-04</t>
        </is>
      </c>
      <c r="E6" s="21">
        <f>LEN(D6)-LEN(SUBSTITUTE(D6,",",""))+1</f>
        <v/>
      </c>
      <c r="F6" s="21">
        <f>IF(E6&gt;0,"Đã phủ","THIẾU")</f>
        <v/>
      </c>
    </row>
    <row r="7" ht="15" customHeight="1" s="14">
      <c r="A7" s="21" t="n">
        <v>4</v>
      </c>
      <c r="B7" s="21" t="inlineStr">
        <is>
          <t>Chi tiết và tùy chọn sản phẩm</t>
        </is>
      </c>
      <c r="C7" s="21" t="inlineStr">
        <is>
          <t>Vũ Huy</t>
        </is>
      </c>
      <c r="D7" s="21" t="inlineStr">
        <is>
          <t>GD1-06, GD2-06</t>
        </is>
      </c>
      <c r="E7" s="21">
        <f>LEN(D7)-LEN(SUBSTITUTE(D7,",",""))+1</f>
        <v/>
      </c>
      <c r="F7" s="21">
        <f>IF(E7&gt;0,"Đã phủ","THIẾU")</f>
        <v/>
      </c>
    </row>
    <row r="8" ht="15" customHeight="1" s="14">
      <c r="A8" s="21" t="n">
        <v>5</v>
      </c>
      <c r="B8" s="21" t="inlineStr">
        <is>
          <t>Giỏ hàng (Cart)</t>
        </is>
      </c>
      <c r="C8" s="21" t="inlineStr">
        <is>
          <t>Hào</t>
        </is>
      </c>
      <c r="D8" s="21" t="inlineStr">
        <is>
          <t>GD2-07</t>
        </is>
      </c>
      <c r="E8" s="21">
        <f>LEN(D8)-LEN(SUBSTITUTE(D8,",",""))+1</f>
        <v/>
      </c>
      <c r="F8" s="21">
        <f>IF(E8&gt;0,"Đã phủ","THIẾU")</f>
        <v/>
      </c>
    </row>
    <row r="9" ht="15" customHeight="1" s="14">
      <c r="A9" s="21" t="n">
        <v>6</v>
      </c>
      <c r="B9" s="21" t="inlineStr">
        <is>
          <t>API tạo đơn hàng</t>
        </is>
      </c>
      <c r="C9" s="21" t="inlineStr">
        <is>
          <t>Hạnh</t>
        </is>
      </c>
      <c r="D9" s="21" t="inlineStr">
        <is>
          <t>GD1-09, GD2-08</t>
        </is>
      </c>
      <c r="E9" s="21">
        <f>LEN(D9)-LEN(SUBSTITUTE(D9,",",""))+1</f>
        <v/>
      </c>
      <c r="F9" s="21">
        <f>IF(E9&gt;0,"Đã phủ","THIẾU")</f>
        <v/>
      </c>
    </row>
    <row r="10" ht="15" customHeight="1" s="14">
      <c r="A10" s="21" t="n">
        <v>7</v>
      </c>
      <c r="B10" s="21" t="inlineStr">
        <is>
          <t>Đăng ký / Đăng nhập (JWT)</t>
        </is>
      </c>
      <c r="C10" s="21" t="inlineStr">
        <is>
          <t>Chiến</t>
        </is>
      </c>
      <c r="D10" s="21" t="inlineStr">
        <is>
          <t>GD1-01, GD2-01</t>
        </is>
      </c>
      <c r="E10" s="21">
        <f>LEN(D10)-LEN(SUBSTITUTE(D10,",",""))+1</f>
        <v/>
      </c>
      <c r="F10" s="21">
        <f>IF(E10&gt;0,"Đã phủ","THIẾU")</f>
        <v/>
      </c>
    </row>
    <row r="11" ht="15" customHeight="1" s="14">
      <c r="A11" s="21" t="n">
        <v>8</v>
      </c>
      <c r="B11" s="21" t="inlineStr">
        <is>
          <t>Thanh toán không tiền mặt</t>
        </is>
      </c>
      <c r="C11" s="21" t="inlineStr">
        <is>
          <t>Kiệt</t>
        </is>
      </c>
      <c r="D11" s="21" t="inlineStr">
        <is>
          <t>GD1-10, GD2-09</t>
        </is>
      </c>
      <c r="E11" s="21">
        <f>LEN(D11)-LEN(SUBSTITUTE(D11,",",""))+1</f>
        <v/>
      </c>
      <c r="F11" s="21">
        <f>IF(E11&gt;0,"Đã phủ","THIẾU")</f>
        <v/>
      </c>
    </row>
    <row r="12" ht="15" customHeight="1" s="14">
      <c r="A12" s="21" t="n">
        <v>9</v>
      </c>
      <c r="B12" s="21" t="inlineStr">
        <is>
          <t>Xác nhận, lịch sử đơn &amp; bàn giao</t>
        </is>
      </c>
      <c r="C12" s="21" t="inlineStr">
        <is>
          <t>Quang Huy</t>
        </is>
      </c>
      <c r="D12" s="21" t="inlineStr">
        <is>
          <t>GD1-11, GD2-03, GD3-04, GD3-08</t>
        </is>
      </c>
      <c r="E12" s="21">
        <f>LEN(D12)-LEN(SUBSTITUTE(D12,",",""))+1</f>
        <v/>
      </c>
      <c r="F12" s="21">
        <f>IF(E12&gt;0,"Đã phủ","THIẾU")</f>
        <v/>
      </c>
    </row>
    <row r="13" ht="15" customHeight="1" s="14">
      <c r="A13" s="21" t="n">
        <v>10</v>
      </c>
      <c r="B13" s="21" t="inlineStr">
        <is>
          <t>Nghiệp vụ backend (a)(b)(c)</t>
        </is>
      </c>
      <c r="C13" s="21" t="inlineStr">
        <is>
          <t>Hạnh / Kiệt / Hào</t>
        </is>
      </c>
      <c r="D13" s="21" t="inlineStr">
        <is>
          <t>GD1-08, GD1-10, GD3-01, GD3-02, GD3-03</t>
        </is>
      </c>
      <c r="E13" s="21">
        <f>LEN(D13)-LEN(SUBSTITUTE(D13,",",""))+1</f>
        <v/>
      </c>
      <c r="F13" s="21">
        <f>IF(E13&gt;0,"Đã phủ","THIẾU")</f>
        <v/>
      </c>
    </row>
    <row r="14" ht="15" customHeight="1" s="14">
      <c r="A14" s="17" t="inlineStr">
        <is>
          <t>Tổng</t>
        </is>
      </c>
      <c r="F14" s="17">
        <f>IF(COUNTIF(F4:F13,"THIẾU")=0,"Đủ 10/10","Còn thiếu")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showGridLines="1" workbookViewId="0">
      <selection activeCell="A1" sqref="A1"/>
    </sheetView>
  </sheetViews>
  <sheetFormatPr baseColWidth="8" defaultRowHeight="15"/>
  <cols>
    <col width="10" customWidth="1" style="14" min="1" max="1"/>
    <col width="12" customWidth="1" style="14" min="2" max="2"/>
    <col width="12" customWidth="1" style="14" min="3" max="3"/>
    <col width="82" customWidth="1" style="14" min="4" max="4"/>
    <col width="44" customWidth="1" style="14" min="5" max="5"/>
    <col width="44" customWidth="1" style="14" min="6" max="6"/>
    <col width="12" customWidth="1" style="14" min="7" max="7"/>
    <col width="15" customWidth="1" style="14" min="8" max="8"/>
    <col width="30" customWidth="1" style="14" min="9" max="9"/>
  </cols>
  <sheetData>
    <row r="1">
      <c r="A1" s="27" t="inlineStr">
        <is>
          <t>BREWLITE — CHANGE REQUEST (CR-01): QUẢN LÝ TỒN KHO THEO NGUYÊN LIỆU</t>
        </is>
      </c>
    </row>
    <row r="2">
      <c r="A2" s="28" t="inlineStr">
        <is>
          <t>Phần việc thực hiện của LEADER (Chiến): Thiết kế CR, cập nhật DB docs/UML, Prisma Schema &amp; Migration, Helper trừ/hoàn kho và Unit tests.</t>
        </is>
      </c>
    </row>
    <row r="3">
      <c r="A3" s="29" t="inlineStr">
        <is>
          <t>Tiến độ (số task Xong):</t>
        </is>
      </c>
      <c r="C3" s="29">
        <f>COUNTIF(G8:G8,"Xong")&amp;" / "&amp;COUNTA(B8:B8)</f>
        <v/>
      </c>
    </row>
    <row r="6">
      <c r="A6" s="30" t="inlineStr">
        <is>
          <t>Giai đoạn</t>
        </is>
      </c>
      <c r="B6" s="30" t="inlineStr">
        <is>
          <t>ID</t>
        </is>
      </c>
      <c r="C6" s="30" t="inlineStr">
        <is>
          <t>Người</t>
        </is>
      </c>
      <c r="D6" s="30" t="inlineStr">
        <is>
          <t>Việc cần làm</t>
        </is>
      </c>
      <c r="E6" s="30" t="inlineStr">
        <is>
          <t>File / thư mục</t>
        </is>
      </c>
      <c r="F6" s="30" t="inlineStr">
        <is>
          <t>Xong khi</t>
        </is>
      </c>
      <c r="G6" s="30" t="inlineStr">
        <is>
          <t>Status</t>
        </is>
      </c>
      <c r="H6" s="30" t="inlineStr">
        <is>
          <t>Leader Duyệt</t>
        </is>
      </c>
      <c r="I6" s="30" t="inlineStr">
        <is>
          <t>Ngày Hoàn thành Task</t>
        </is>
      </c>
    </row>
    <row r="7" ht="24" customHeight="1" s="14">
      <c r="A7" s="31" t="inlineStr">
        <is>
          <t>GIAI ĐOẠN 1 — THIẾT KẾ NỀN TẢNG, SCHEMA, MIGRATION &amp; HELPER (LEADER CHIẾN)</t>
        </is>
      </c>
    </row>
    <row r="8" ht="95" customHeight="1" s="14">
      <c r="A8" s="35" t="inlineStr">
        <is>
          <t>GĐ1-CR</t>
        </is>
      </c>
      <c r="B8" s="36" t="inlineStr">
        <is>
          <t>CR-LEADER</t>
        </is>
      </c>
      <c r="C8" s="36" t="inlineStr">
        <is>
          <t>Chiến</t>
        </is>
      </c>
      <c r="D8" s="37" t="inlineStr">
        <is>
          <t>Thực hiện trọn gói phần việc LEADER cho Change Request tồn kho theo nguyên liệu:
1. Viết lại CR doc (docs/change-request-ingredients.md) chốt D10–D14, định lượng S/M/L theo g/ml, bỏ version Ingredient, giữ cột cũ deprecated.
2. Sửa thiết kế DB (docs/database-design.md, database-erd.puml, class-diagram-backend.puml, database-uml.puml).
3. Thêm 4 model Prisma &amp; tạo migration add_ingredient_inventory (không alter cột cũ).
4. Viết helper deductIngredients/restoreIngredients và trọn bộ unit test Jest 100% pass.</t>
        </is>
      </c>
      <c r="E8" s="37" t="inlineStr">
        <is>
          <t>docs/change-request-ingredients.md
docs/database-design.md
docs/architecture/**
backend/prisma/**
backend/src/common/ingredient-stock.helper.*</t>
        </is>
      </c>
      <c r="F8" s="37" t="inlineStr">
        <is>
          <t>CR &amp; DB docs chuẩn D10-D14; Prisma validate/generate pass; 1 migration chỉ thêm bảng; helper có unit test 100% pass; npm run build &amp; npm test pass sạch sẽ.</t>
        </is>
      </c>
      <c r="G8" s="38" t="inlineStr">
        <is>
          <t>Xong</t>
        </is>
      </c>
      <c r="H8" s="36" t="inlineStr">
        <is>
          <t>OK</t>
        </is>
      </c>
      <c r="I8" s="35" t="inlineStr">
        <is>
          <t>27/10/2026 22:25 (CR-01)</t>
        </is>
      </c>
    </row>
  </sheetData>
  <mergeCells count="1">
    <mergeCell ref="A7:I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2026-10-18T10:44:53Z</dcterms:created>
  <dcterms:modified xsi:type="dcterms:W3CDTF">2026-10-27T16:07:23Z</dcterms:modified>
  <cp:revision>0</cp:revision>
</cp:coreProperties>
</file>