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500" firstSheet="0" activeTab="3" autoFilterDateGrouping="1"/>
  </bookViews>
  <sheets>
    <sheet name="Phan_cong" sheetId="1" state="visible" r:id="rId1"/>
    <sheet name="Quy_tac" sheetId="2" state="visible" r:id="rId2"/>
    <sheet name="Doi_chieu_10_task" sheetId="3" state="visible" r:id="rId3"/>
    <sheet name="CR_NguyenLieu_Admin" sheetId="4" state="visible" r:id="rId4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0"/>
  <fonts count="22">
    <font>
      <name val="Calibri"/>
      <charset val="1"/>
      <family val="2"/>
      <color theme="1"/>
      <sz val="11"/>
    </font>
    <font>
      <name val="Arial"/>
      <charset val="1"/>
      <b val="1"/>
      <sz val="14"/>
    </font>
    <font>
      <name val="Arial"/>
      <charset val="1"/>
      <i val="1"/>
      <sz val="10"/>
    </font>
    <font>
      <name val="Arial"/>
      <charset val="1"/>
      <b val="1"/>
      <sz val="10"/>
    </font>
    <font>
      <name val="Arial"/>
      <charset val="1"/>
      <b val="1"/>
      <color rgb="FFC00000"/>
      <sz val="10"/>
    </font>
    <font>
      <name val="Arial"/>
      <charset val="1"/>
      <b val="1"/>
      <color rgb="FFFFFFFF"/>
      <sz val="10"/>
    </font>
    <font>
      <name val="Arial"/>
      <charset val="1"/>
      <sz val="10"/>
    </font>
    <font>
      <name val="Arial"/>
      <charset val="1"/>
      <b val="1"/>
      <color rgb="FF1F3864"/>
      <sz val="14"/>
    </font>
    <font>
      <name val="Arial"/>
      <charset val="1"/>
      <color rgb="FF333333"/>
      <sz val="10"/>
    </font>
    <font>
      <name val="Arial"/>
      <charset val="1"/>
      <b val="1"/>
      <color rgb="FF000000"/>
      <sz val="10"/>
    </font>
    <font>
      <name val="Arial"/>
      <sz val="10"/>
    </font>
    <font>
      <name val="Arial"/>
      <b val="1"/>
      <sz val="10"/>
    </font>
    <font>
      <name val="Arial"/>
      <b val="1"/>
      <color rgb="FF1F3864"/>
      <sz val="10"/>
    </font>
    <font>
      <name val="Arial"/>
      <color rgb="FF000000"/>
      <sz val="10"/>
    </font>
    <font>
      <name val="Arial"/>
      <b val="1"/>
      <color rgb="FF000000"/>
      <sz val="10"/>
    </font>
    <font>
      <name val="Arial"/>
      <b val="1"/>
      <color rgb="FF375623"/>
      <sz val="10"/>
    </font>
    <font>
      <name val="Calibri"/>
      <sz val="11"/>
    </font>
    <font>
      <name val="Arial"/>
      <b val="1"/>
      <color rgb="001F3864"/>
      <sz val="10"/>
    </font>
    <font>
      <name val="Arial"/>
      <color rgb="00000000"/>
      <sz val="10"/>
    </font>
    <font>
      <name val="Arial"/>
      <b val="1"/>
      <color rgb="00000000"/>
      <sz val="10"/>
    </font>
    <font>
      <name val="Arial"/>
      <b val="1"/>
      <color rgb="00375623"/>
      <sz val="10"/>
    </font>
    <font/>
  </fonts>
  <fills count="12">
    <fill>
      <patternFill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DDEBF7"/>
        <bgColor rgb="FFE2EFDA"/>
      </patternFill>
    </fill>
    <fill>
      <patternFill patternType="solid">
        <fgColor theme="9" tint="0.5998718222602009"/>
        <bgColor rgb="FFFFEB9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E2EFDA"/>
      </patternFill>
    </fill>
    <fill>
      <patternFill patternType="solid">
        <fgColor rgb="FFDDEBF7"/>
        <bgColor rgb="FFDDEBF7"/>
      </patternFill>
    </fill>
    <fill>
      <patternFill patternType="solid">
        <fgColor rgb="FFE2EFDA"/>
        <bgColor rgb="FFE2EFDA"/>
      </patternFill>
    </fill>
    <fill>
      <patternFill patternType="solid">
        <fgColor rgb="FFFFF2CC"/>
        <bgColor rgb="FFFFF2CC"/>
      </patternFill>
    </fill>
    <fill>
      <patternFill patternType="solid">
        <fgColor rgb="00DDEBF7"/>
        <bgColor rgb="00DDEBF7"/>
      </patternFill>
    </fill>
    <fill>
      <patternFill patternType="solid">
        <fgColor rgb="00E2EFDA"/>
        <bgColor rgb="00E2EFDA"/>
      </patternFill>
    </fill>
  </fills>
  <borders count="16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/>
      <bottom/>
      <diagonal/>
    </border>
    <border>
      <left/>
      <right/>
      <top style="thin">
        <color rgb="FFD9D9D9"/>
      </top>
      <bottom/>
      <diagonal/>
    </border>
    <border>
      <left/>
      <right style="thin">
        <color rgb="FFD9D9D9"/>
      </right>
      <top style="thin">
        <color rgb="FFD9D9D9"/>
      </top>
      <bottom/>
      <diagonal/>
    </border>
    <border>
      <left/>
      <right/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/>
    <border>
      <left/>
      <right/>
      <top style="thin">
        <color rgb="00D9D9D9"/>
      </top>
      <bottom/>
      <diagonal/>
    </border>
    <border>
      <left/>
      <right style="thin">
        <color rgb="00D9D9D9"/>
      </right>
      <top style="thin">
        <color rgb="00D9D9D9"/>
      </top>
      <bottom/>
      <diagonal/>
    </border>
    <border>
      <left/>
      <right/>
      <top style="thin">
        <color rgb="00D9D9D9"/>
      </top>
      <bottom style="thin">
        <color rgb="00D9D9D9"/>
      </bottom>
      <diagonal/>
    </border>
    <border>
      <left/>
      <right style="thin">
        <color rgb="00D9D9D9"/>
      </right>
      <top style="thin">
        <color rgb="00D9D9D9"/>
      </top>
      <bottom style="thin">
        <color rgb="00D9D9D9"/>
      </bottom>
      <diagonal/>
    </border>
    <border>
      <left style="thin"/>
      <right style="thin"/>
      <top style="thin"/>
      <bottom style="thin"/>
    </border>
    <border>
      <top style="thin"/>
      <bottom style="thin"/>
    </border>
  </borders>
  <cellStyleXfs count="1">
    <xf numFmtId="0" fontId="0" fillId="0" borderId="3"/>
  </cellStyleXfs>
  <cellXfs count="5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 wrapText="1"/>
    </xf>
    <xf numFmtId="0" fontId="3" fillId="3" borderId="1" pivotButton="0" quotePrefix="0" xfId="0"/>
    <xf numFmtId="0" fontId="6" fillId="0" borderId="1" applyAlignment="1" pivotButton="0" quotePrefix="0" xfId="0">
      <alignment vertical="top" wrapText="1"/>
    </xf>
    <xf numFmtId="0" fontId="0" fillId="4" borderId="0" pivotButton="0" quotePrefix="0" xfId="0"/>
    <xf numFmtId="0" fontId="6" fillId="0" borderId="0" applyAlignment="1" pivotButton="0" quotePrefix="0" xfId="0">
      <alignment horizontal="center" vertical="top"/>
    </xf>
    <xf numFmtId="0" fontId="3" fillId="5" borderId="1" pivotButton="0" quotePrefix="0" xfId="0"/>
    <xf numFmtId="0" fontId="3" fillId="6" borderId="1" pivotButton="0" quotePrefix="0" xfId="0"/>
    <xf numFmtId="0" fontId="3" fillId="6" borderId="0" pivotButton="0" quotePrefix="0" xfId="0"/>
    <xf numFmtId="0" fontId="6" fillId="0" borderId="0" pivotButton="0" quotePrefix="0" xfId="0"/>
    <xf numFmtId="0" fontId="6" fillId="0" borderId="0" applyAlignment="1" pivotButton="0" quotePrefix="0" xfId="0">
      <alignment vertical="top" wrapText="1"/>
    </xf>
    <xf numFmtId="0" fontId="5" fillId="2" borderId="1" applyAlignment="1" pivotButton="0" quotePrefix="0" xfId="0">
      <alignment horizontal="center" wrapText="1"/>
    </xf>
    <xf numFmtId="0" fontId="7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5" fillId="2" borderId="0" applyAlignment="1" pivotButton="0" quotePrefix="0" xfId="0">
      <alignment horizontal="center" vertical="center" wrapText="1"/>
    </xf>
    <xf numFmtId="0" fontId="10" fillId="0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/>
    </xf>
    <xf numFmtId="0" fontId="13" fillId="0" borderId="2" applyAlignment="1" pivotButton="0" quotePrefix="0" xfId="0">
      <alignment horizontal="center" vertical="top" wrapText="1"/>
    </xf>
    <xf numFmtId="0" fontId="14" fillId="0" borderId="2" applyAlignment="1" pivotButton="0" quotePrefix="0" xfId="0">
      <alignment horizontal="center" vertical="top" wrapText="1"/>
    </xf>
    <xf numFmtId="0" fontId="13" fillId="0" borderId="2" applyAlignment="1" pivotButton="0" quotePrefix="0" xfId="0">
      <alignment horizontal="left" vertical="top" wrapText="1"/>
    </xf>
    <xf numFmtId="0" fontId="15" fillId="8" borderId="2" applyAlignment="1" pivotButton="0" quotePrefix="0" xfId="0">
      <alignment horizontal="center" vertical="top" wrapText="1"/>
    </xf>
    <xf numFmtId="0" fontId="16" fillId="0" borderId="3" pivotButton="0" quotePrefix="0" xfId="0"/>
    <xf numFmtId="0" fontId="12" fillId="7" borderId="2" applyAlignment="1" pivotButton="0" quotePrefix="0" xfId="0">
      <alignment horizontal="left" vertical="center"/>
    </xf>
    <xf numFmtId="0" fontId="0" fillId="7" borderId="2" pivotButton="0" quotePrefix="0" xfId="0"/>
    <xf numFmtId="0" fontId="12" fillId="9" borderId="2" applyAlignment="1" pivotButton="0" quotePrefix="0" xfId="0">
      <alignment horizontal="left" vertical="center"/>
    </xf>
    <xf numFmtId="0" fontId="0" fillId="9" borderId="2" pivotButton="0" quotePrefix="0" xfId="0"/>
    <xf numFmtId="0" fontId="12" fillId="8" borderId="2" applyAlignment="1" pivotButton="0" quotePrefix="0" xfId="0">
      <alignment horizontal="left" vertical="center"/>
    </xf>
    <xf numFmtId="0" fontId="0" fillId="8" borderId="2" pivotButton="0" quotePrefix="0" xfId="0"/>
    <xf numFmtId="0" fontId="17" fillId="10" borderId="8" applyAlignment="1" pivotButton="0" quotePrefix="0" xfId="0">
      <alignment horizontal="left" vertical="center"/>
    </xf>
    <xf numFmtId="0" fontId="0" fillId="10" borderId="8" pivotButton="0" quotePrefix="0" xfId="0"/>
    <xf numFmtId="0" fontId="18" fillId="0" borderId="8" applyAlignment="1" pivotButton="0" quotePrefix="0" xfId="0">
      <alignment horizontal="center" vertical="top" wrapText="1"/>
    </xf>
    <xf numFmtId="0" fontId="19" fillId="0" borderId="8" applyAlignment="1" pivotButton="0" quotePrefix="0" xfId="0">
      <alignment horizontal="center" vertical="top" wrapText="1"/>
    </xf>
    <xf numFmtId="0" fontId="18" fillId="0" borderId="8" applyAlignment="1" pivotButton="0" quotePrefix="0" xfId="0">
      <alignment horizontal="left" vertical="top" wrapText="1"/>
    </xf>
    <xf numFmtId="0" fontId="20" fillId="11" borderId="8" applyAlignment="1" pivotButton="0" quotePrefix="0" xfId="0">
      <alignment horizontal="center" vertical="top" wrapText="1"/>
    </xf>
    <xf numFmtId="0" fontId="17" fillId="11" borderId="8" applyAlignment="1" pivotButton="0" quotePrefix="0" xfId="0">
      <alignment horizontal="left" vertical="center"/>
    </xf>
    <xf numFmtId="0" fontId="0" fillId="11" borderId="8" pivotButton="0" quotePrefix="0" xfId="0"/>
    <xf numFmtId="0" fontId="21" fillId="0" borderId="9" pivotButton="0" quotePrefix="0" xfId="0"/>
    <xf numFmtId="0" fontId="0" fillId="0" borderId="12" pivotButton="0" quotePrefix="0" xfId="0"/>
    <xf numFmtId="0" fontId="0" fillId="0" borderId="13" pivotButton="0" quotePrefix="0" xfId="0"/>
    <xf numFmtId="0" fontId="10" fillId="0" borderId="14" applyAlignment="1" pivotButton="0" quotePrefix="0" xfId="0">
      <alignment horizontal="center" vertical="top" wrapText="1"/>
    </xf>
    <xf numFmtId="0" fontId="11" fillId="0" borderId="14" applyAlignment="1" pivotButton="0" quotePrefix="0" xfId="0">
      <alignment horizontal="center" vertical="top" wrapText="1"/>
    </xf>
    <xf numFmtId="0" fontId="10" fillId="0" borderId="14" applyAlignment="1" pivotButton="0" quotePrefix="0" xfId="0">
      <alignment horizontal="left" vertical="top" wrapText="1"/>
    </xf>
    <xf numFmtId="0" fontId="17" fillId="10" borderId="15" pivotButton="0" quotePrefix="0" xfId="0"/>
    <xf numFmtId="0" fontId="10" fillId="10" borderId="14" applyAlignment="1" pivotButton="0" quotePrefix="0" xfId="0">
      <alignment horizontal="center" vertical="top" wrapText="1"/>
    </xf>
    <xf numFmtId="0" fontId="11" fillId="10" borderId="14" applyAlignment="1" pivotButton="0" quotePrefix="0" xfId="0">
      <alignment horizontal="center" vertical="top" wrapText="1"/>
    </xf>
    <xf numFmtId="0" fontId="10" fillId="10" borderId="14" applyAlignment="1" pivotButton="0" quotePrefix="0" xfId="0">
      <alignment horizontal="left" vertical="top" wrapText="1"/>
    </xf>
    <xf numFmtId="0" fontId="17" fillId="10" borderId="15" applyAlignment="1" pivotButton="0" quotePrefix="0" xfId="0">
      <alignment horizontal="center" vertical="top" wrapText="1"/>
    </xf>
    <xf numFmtId="0" fontId="17" fillId="10" borderId="15" applyAlignment="1" pivotButton="0" quotePrefix="0" xfId="0">
      <alignment horizontal="left" vertical="top" wrapText="1"/>
    </xf>
  </cellXfs>
  <cellStyles count="1">
    <cellStyle name="Normal" xfId="0" builtinId="0"/>
  </cellStyles>
  <dxfs count="6">
    <dxf>
      <font>
        <name val="Arial"/>
        <b val="1"/>
        <color rgb="FF7F6000"/>
        <sz val="10"/>
      </font>
      <fill>
        <patternFill patternType="solid">
          <fgColor rgb="FFFFF2CC"/>
          <bgColor rgb="FFFFF2CC"/>
        </patternFill>
      </fill>
    </dxf>
    <dxf>
      <font>
        <name val="Arial"/>
        <b val="1"/>
        <color rgb="FF375623"/>
        <sz val="10"/>
      </font>
      <fill>
        <patternFill patternType="solid">
          <fgColor rgb="FFE2EFDA"/>
          <bgColor rgb="FFE2EFDA"/>
        </patternFill>
      </fill>
    </dxf>
    <dxf>
      <fill>
        <patternFill>
          <bgColor rgb="FFFFEB9C"/>
        </patternFill>
      </fill>
    </dxf>
    <dxf>
      <fill>
        <patternFill>
          <bgColor rgb="FFC6EFCE"/>
        </patternFill>
      </fill>
    </dxf>
    <dxf>
      <font>
        <name val="Arial"/>
        <b val="1"/>
        <color rgb="00375623"/>
        <sz val="10"/>
      </font>
      <fill>
        <patternFill patternType="solid">
          <fgColor rgb="00E2EFDA"/>
          <bgColor rgb="00E2EFDA"/>
        </patternFill>
      </fill>
    </dxf>
    <dxf>
      <font>
        <name val="Arial"/>
        <b val="1"/>
        <color rgb="007F6000"/>
        <sz val="10"/>
      </font>
      <fill>
        <patternFill patternType="solid">
          <fgColor rgb="00FFF2CC"/>
          <bgColor rgb="00FFF2CC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2EFDA"/>
      <rgbColor rgb="FFC6EFCE"/>
      <rgbColor rgb="FFFFEB9C"/>
      <rgbColor rgb="FF99CCFF"/>
      <rgbColor rgb="FFFF99CC"/>
      <rgbColor rgb="FFCC99FF"/>
      <rgbColor rgb="FFFCD5B5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9"/>
  <sheetViews>
    <sheetView topLeftCell="D1" zoomScaleNormal="100" workbookViewId="0">
      <pane ySplit="6" topLeftCell="A7" activePane="bottomLeft" state="frozen"/>
      <selection activeCell="D1" sqref="D1"/>
      <selection pane="bottomLeft" activeCell="I30" sqref="I30"/>
    </sheetView>
  </sheetViews>
  <sheetFormatPr baseColWidth="8" defaultColWidth="8.6640625" defaultRowHeight="14.4"/>
  <cols>
    <col width="8" customWidth="1" min="1" max="1"/>
    <col width="9" customWidth="1" min="2" max="2"/>
    <col width="12" customWidth="1" min="3" max="3"/>
    <col width="80" customWidth="1" min="4" max="4"/>
    <col width="38" customWidth="1" min="5" max="5"/>
    <col width="42" customWidth="1" min="6" max="6"/>
    <col width="11" customWidth="1" min="7" max="7"/>
    <col width="15.88671875" customWidth="1" min="8" max="8"/>
    <col width="30" customWidth="1" min="9" max="9"/>
  </cols>
  <sheetData>
    <row r="1" ht="17.25" customHeight="1">
      <c r="A1" s="1" t="inlineStr">
        <is>
          <t>BREWLITE — PHÂN CÔNG (3 GIAI ĐOẠN)</t>
        </is>
      </c>
    </row>
    <row r="2" ht="14.25" customHeight="1">
      <c r="A2" s="2" t="inlineStr">
        <is>
          <t>GĐ1 Backend → GĐ2 Frontend → GĐ3 Tích hợp + bàn giao. Mỗi người code (kèm agent) theo docs/ của feature mình; chỉ sửa thư mục của mình. Chi tiết quy tắc ở sheet Quy_tac.</t>
        </is>
      </c>
    </row>
    <row r="3" ht="14.25" customHeight="1">
      <c r="A3" s="3" t="inlineStr">
        <is>
          <t>Tiến độ (số task Xong):</t>
        </is>
      </c>
      <c r="C3" s="4">
        <f>COUNTIF(G7:G39,"Xong")&amp;" / "&amp;COUNTA(B7:B39)</f>
        <v/>
      </c>
    </row>
    <row r="6" ht="24" customHeight="1">
      <c r="A6" s="5" t="inlineStr">
        <is>
          <t>Giai đoạn</t>
        </is>
      </c>
      <c r="B6" s="5" t="inlineStr">
        <is>
          <t>ID</t>
        </is>
      </c>
      <c r="C6" s="5" t="inlineStr">
        <is>
          <t>Người</t>
        </is>
      </c>
      <c r="D6" s="5" t="inlineStr">
        <is>
          <t>Việc cần làm</t>
        </is>
      </c>
      <c r="E6" s="5" t="inlineStr">
        <is>
          <t>File / thư mục</t>
        </is>
      </c>
      <c r="F6" s="5" t="inlineStr">
        <is>
          <t>Xong khi</t>
        </is>
      </c>
      <c r="G6" s="5" t="inlineStr">
        <is>
          <t>Status</t>
        </is>
      </c>
      <c r="H6" s="5" t="inlineStr">
        <is>
          <t>Leader Duyệt</t>
        </is>
      </c>
      <c r="I6" s="5" t="inlineStr">
        <is>
          <t>Ngày Hoàn thành Task</t>
        </is>
      </c>
    </row>
    <row r="7" ht="14.25" customHeight="1">
      <c r="A7" s="6" t="inlineStr">
        <is>
          <t>GIAI ĐOẠN 1 — BACKEND (song song; cuối GĐ1 mỗi người có request curl chạy được cho endpoint của mình)</t>
        </is>
      </c>
      <c r="B7" s="6" t="n"/>
      <c r="C7" s="6" t="n"/>
      <c r="D7" s="6" t="n"/>
      <c r="E7" s="6" t="n"/>
      <c r="F7" s="6" t="n"/>
      <c r="G7" s="6" t="n"/>
      <c r="H7" s="6" t="n"/>
      <c r="I7" s="6" t="n"/>
    </row>
    <row r="8" ht="15" customHeight="1">
      <c r="A8" s="6" t="n"/>
      <c r="B8" s="6" t="n"/>
      <c r="C8" s="6" t="n"/>
      <c r="D8" s="6" t="n"/>
      <c r="E8" s="6" t="n"/>
      <c r="F8" s="6" t="n"/>
      <c r="G8" s="6" t="n"/>
      <c r="H8" s="6" t="n"/>
      <c r="I8" s="6" t="n"/>
    </row>
    <row r="9" ht="25.2" customHeight="1">
      <c r="A9" s="7" t="inlineStr">
        <is>
          <t>GĐ1</t>
        </is>
      </c>
      <c r="B9" s="7" t="inlineStr">
        <is>
          <t>GD1-01</t>
        </is>
      </c>
      <c r="C9" s="7" t="inlineStr">
        <is>
          <t>Chiến</t>
        </is>
      </c>
      <c r="D9" s="7" t="inlineStr">
        <is>
          <t>Auth: POST /auth/register, /auth/login (bcrypt, JWT), JwtAuthGuard, req.user = { sub, email }.</t>
        </is>
      </c>
      <c r="E9" s="7" t="inlineStr">
        <is>
          <t>backend/src/modules/auth/**</t>
        </is>
      </c>
      <c r="F9" s="7" t="inlineStr">
        <is>
          <t>Sai mật khẩu → 401; email trùng → 409; thiếu/hết hạn token → 401; không lưu plaintext password.</t>
        </is>
      </c>
      <c r="G9" s="7" t="inlineStr">
        <is>
          <t>Xong</t>
        </is>
      </c>
      <c r="H9" s="8" t="inlineStr">
        <is>
          <t>OK</t>
        </is>
      </c>
      <c r="I9" s="9" t="inlineStr">
        <is>
          <t>19/10/2026 11:29 (e316bfe)</t>
        </is>
      </c>
    </row>
    <row r="10" ht="48" customHeight="1">
      <c r="A10" s="7" t="inlineStr">
        <is>
          <t>GĐ1</t>
        </is>
      </c>
      <c r="B10" s="7" t="inlineStr">
        <is>
          <t>GD1-02</t>
        </is>
      </c>
      <c r="C10" s="7" t="inlineStr">
        <is>
          <t>Chiến</t>
        </is>
      </c>
      <c r="D10" s="7" t="inlineStr">
        <is>
          <t>Nền chung (làm NGÀY 1): sửa AllExceptionsFilter (không lộ lỗi nội bộ, Prisma P2002→409, P2025→404); migration OrderStatusHistory.fromStatus nullable; 1 endpoint /health; cài jest cho backend; đăng ký sẵn module trong app.module.ts; chốt chữ ký hàm chung (calculate / transition / validate).</t>
        </is>
      </c>
      <c r="E10" s="7" t="inlineStr">
        <is>
          <t>backend/prisma/schema.prisma, migrations, common/**, app.module.ts, main.ts</t>
        </is>
      </c>
      <c r="F10" s="7" t="inlineStr">
        <is>
          <t>`npm run build` + `npm test` chạy được trên máy sạch; mọi người pull và code tiếp không chờ nhau.</t>
        </is>
      </c>
      <c r="G10" s="7" t="inlineStr">
        <is>
          <t>Xong</t>
        </is>
      </c>
      <c r="H10" s="8" t="inlineStr">
        <is>
          <t>OK</t>
        </is>
      </c>
      <c r="I10" s="9" t="inlineStr">
        <is>
          <t>19/10/2026 11:23 (02d8e3c)</t>
        </is>
      </c>
    </row>
    <row r="11" ht="24" customHeight="1">
      <c r="A11" s="7" t="inlineStr">
        <is>
          <t>GĐ1</t>
        </is>
      </c>
      <c r="B11" s="7" t="inlineStr">
        <is>
          <t>GD1-03</t>
        </is>
      </c>
      <c r="C11" s="7" t="inlineStr">
        <is>
          <t>Lan</t>
        </is>
      </c>
      <c r="D11" s="7" t="inlineStr">
        <is>
          <t>Seed (làm NGÀY 1, merge sớm): ≥10 sản phẩm có ảnh, 3 topping, ≥2 mã khuyến mãi (giảm % có trần + giảm cố định, có mức tối thiểu), user demo, 1 sản phẩm tồn kho thấp.</t>
        </is>
      </c>
      <c r="E11" s="7" t="inlineStr">
        <is>
          <t>backend/prisma/seed.ts</t>
        </is>
      </c>
      <c r="F11" s="7" t="inlineStr">
        <is>
          <t>`prisma db seed` chạy 2 lần liên tiếp không lỗi.</t>
        </is>
      </c>
      <c r="G11" s="7" t="inlineStr">
        <is>
          <t>Xong</t>
        </is>
      </c>
      <c r="H11" s="8" t="inlineStr">
        <is>
          <t>OK</t>
        </is>
      </c>
      <c r="I11" s="9" t="inlineStr">
        <is>
          <t>19/10/2026 14:08 (365609f)</t>
        </is>
      </c>
    </row>
    <row r="12" ht="24" customHeight="1">
      <c r="A12" s="7" t="inlineStr">
        <is>
          <t>GĐ1</t>
        </is>
      </c>
      <c r="B12" s="7" t="inlineStr">
        <is>
          <t>GD1-04</t>
        </is>
      </c>
      <c r="C12" s="7" t="inlineStr">
        <is>
          <t>Lan</t>
        </is>
      </c>
      <c r="D12" s="7" t="inlineStr">
        <is>
          <t>GET /products bằng Prisma: chỉ sản phẩm đang bán, KHÔNG trả stock, rỗng trả [].</t>
        </is>
      </c>
      <c r="E12" s="7" t="inlineStr">
        <is>
          <t>modules/products/products.controller.ts, products.service.ts</t>
        </is>
      </c>
      <c r="F12" s="7" t="inlineStr">
        <is>
          <t>Khớp docs/product-catalog/api-contract; không lộ stock.</t>
        </is>
      </c>
      <c r="G12" s="7" t="inlineStr">
        <is>
          <t>Xong</t>
        </is>
      </c>
      <c r="H12" s="8" t="inlineStr">
        <is>
          <t>OK</t>
        </is>
      </c>
      <c r="I12" s="9" t="inlineStr">
        <is>
          <t>19/10/2026 14:08 (365609f)</t>
        </is>
      </c>
    </row>
    <row r="13" ht="36" customHeight="1">
      <c r="A13" s="7" t="inlineStr">
        <is>
          <t>GĐ1</t>
        </is>
      </c>
      <c r="B13" s="7" t="inlineStr">
        <is>
          <t>GD1-05</t>
        </is>
      </c>
      <c r="C13" s="7" t="inlineStr">
        <is>
          <t>Lan</t>
        </is>
      </c>
      <c r="D13" s="7" t="inlineStr">
        <is>
          <t>PromotionsService.validate(code, totalAmount) → { promotionId, discountAmount } hoặc 400 (hết hạn, chưa tới hạn, dưới mức tối thiểu, mã sai; không âm). LoyaltyService.award(tx, order): floor(finalAmount/1000) điểm, idempotent theo orderId.</t>
        </is>
      </c>
      <c r="E13" s="7" t="inlineStr">
        <is>
          <t>modules/promotions/**, modules/loyalty/**</t>
        </is>
      </c>
      <c r="F13" s="7" t="inlineStr">
        <is>
          <t>Gọi 2 lần chỉ cộng điểm 1 lần; giảm giá không làm finalAmount &lt; 0.</t>
        </is>
      </c>
      <c r="G13" s="7" t="inlineStr">
        <is>
          <t>Xong</t>
        </is>
      </c>
      <c r="H13" s="8" t="inlineStr">
        <is>
          <t>OK</t>
        </is>
      </c>
      <c r="I13" s="9" t="inlineStr">
        <is>
          <t>21/10/2026 01:50 (74fabdc)</t>
        </is>
      </c>
    </row>
    <row r="14" ht="24" customHeight="1">
      <c r="A14" s="7" t="inlineStr">
        <is>
          <t>GĐ1</t>
        </is>
      </c>
      <c r="B14" s="7" t="inlineStr">
        <is>
          <t>GD1-06</t>
        </is>
      </c>
      <c r="C14" s="7" t="inlineStr">
        <is>
          <t>Vũ Huy</t>
        </is>
      </c>
      <c r="D14" s="7" t="inlineStr">
        <is>
          <t>PricingService.calculate (nguồn giá duy nhất: unitPrice, lineTotal) + GET /products/:id (giá theo size, topping đang bán, 404, cờ hết hàng).</t>
        </is>
      </c>
      <c r="E14" s="7" t="inlineStr">
        <is>
          <t>modules/pricing/**, modules/products/product-detail.*</t>
        </is>
      </c>
      <c r="F14" s="7" t="inlineStr">
        <is>
          <t>Ví dụ giá S/M/L × 0–3 topping khớp docs; id sai → 404.</t>
        </is>
      </c>
      <c r="G14" s="7" t="inlineStr">
        <is>
          <t>Xong</t>
        </is>
      </c>
      <c r="H14" s="8" t="inlineStr">
        <is>
          <t>OK</t>
        </is>
      </c>
      <c r="I14" s="9" t="inlineStr">
        <is>
          <t>19/10/2026 21:50 (d51541c)</t>
        </is>
      </c>
    </row>
    <row r="15" ht="36" customHeight="1">
      <c r="A15" s="7" t="inlineStr">
        <is>
          <t>GĐ1</t>
        </is>
      </c>
      <c r="B15" s="7" t="inlineStr">
        <is>
          <t>GD1-07</t>
        </is>
      </c>
      <c r="C15" s="7" t="inlineStr">
        <is>
          <t>Vũ Huy</t>
        </is>
      </c>
      <c r="D15" s="7" t="inlineStr">
        <is>
          <t>POST /orders/:id/cancel: chỉ chủ đơn (khác chủ → 404); chỉ từ PENDING/PAYMENT_FAILED (còn lại → 409); hoàn kho Product + Topping trong cùng transaction; gọi OrderService.transition().</t>
        </is>
      </c>
      <c r="E15" s="7" t="inlineStr">
        <is>
          <t>modules/orders/cancel/**</t>
        </is>
      </c>
      <c r="F15" s="7" t="inlineStr">
        <is>
          <t>Hủy 2 lần → 409; tồn kho trở lại đúng.</t>
        </is>
      </c>
      <c r="G15" s="7" t="inlineStr">
        <is>
          <t>Xong</t>
        </is>
      </c>
      <c r="H15" s="8" t="inlineStr">
        <is>
          <t>OK</t>
        </is>
      </c>
      <c r="I15" s="9" t="inlineStr">
        <is>
          <t>20/10/2026 15:13 (d25822c)</t>
        </is>
      </c>
    </row>
    <row r="16" ht="36" customHeight="1">
      <c r="A16" s="7" t="inlineStr">
        <is>
          <t>GĐ1</t>
        </is>
      </c>
      <c r="B16" s="7" t="inlineStr">
        <is>
          <t>GD1-08</t>
        </is>
      </c>
      <c r="C16" s="7" t="inlineStr">
        <is>
          <t>Hạnh</t>
        </is>
      </c>
      <c r="D16" s="7" t="inlineStr">
        <is>
          <t>OrderService.transition() = chỗ DUY NHẤT ghi Order.status (assertTransition theo 9 chuyển tiếp, cập nhật có điều kiện theo version, ghi OrderStatusHistory). Push stub chữ ký lên ngày 1 để Kiệt / Vũ Huy gọi được.</t>
        </is>
      </c>
      <c r="E16" s="7" t="inlineStr">
        <is>
          <t>modules/orders/order.service.ts, order-state.ts</t>
        </is>
      </c>
      <c r="F16" s="7" t="inlineStr">
        <is>
          <t>Chuyển sai → 409; COMPLETED/CANCELLED không đi tiếp.</t>
        </is>
      </c>
      <c r="G16" s="7" t="inlineStr">
        <is>
          <t>Xong</t>
        </is>
      </c>
      <c r="H16" s="8" t="inlineStr">
        <is>
          <t>OK</t>
        </is>
      </c>
      <c r="I16" s="9" t="inlineStr">
        <is>
          <t>20/10/2026 07:05 (713effd)</t>
        </is>
      </c>
    </row>
    <row r="17" ht="48" customHeight="1">
      <c r="A17" s="7" t="inlineStr">
        <is>
          <t>GĐ1</t>
        </is>
      </c>
      <c r="B17" s="7" t="inlineStr">
        <is>
          <t>GD1-09</t>
        </is>
      </c>
      <c r="C17" s="7" t="inlineStr">
        <is>
          <t>Hạnh</t>
        </is>
      </c>
      <c r="D17" s="7" t="inlineStr">
        <is>
          <t>POST /orders: JwtAuthGuard, DTO validate (items không rỗng, quantity 1..99, topping ≤3 không trùng, promotionCode tùy chọn, không nhận userId), dùng PricingService + PromotionsService, transaction: trừ kho Product (optimistic lock theo version) + Topping (stock &gt;= quantity), tạo Order PENDING + OrderItem + lịch sử.</t>
        </is>
      </c>
      <c r="E17" s="7" t="inlineStr">
        <is>
          <t>modules/orders/** (trừ cancel, history)</t>
        </is>
      </c>
      <c r="F17" s="7" t="inlineStr">
        <is>
          <t>Server tự tính tiền; lỗi giữa chừng → rollback; hết hàng → 400; trả mã đơn.</t>
        </is>
      </c>
      <c r="G17" s="7" t="inlineStr">
        <is>
          <t>Xong</t>
        </is>
      </c>
      <c r="H17" s="8" t="inlineStr">
        <is>
          <t>OK</t>
        </is>
      </c>
      <c r="I17" s="9" t="inlineStr">
        <is>
          <t>20/10/2026 07:05 (713effd)</t>
        </is>
      </c>
    </row>
    <row r="18" ht="60" customHeight="1">
      <c r="A18" s="7" t="inlineStr">
        <is>
          <t>GĐ1</t>
        </is>
      </c>
      <c r="B18" s="7" t="inlineStr">
        <is>
          <t>GD1-10</t>
        </is>
      </c>
      <c r="C18" s="7" t="inlineStr">
        <is>
          <t>Kiệt</t>
        </is>
      </c>
      <c r="D18" s="7" t="inlineStr">
        <is>
          <t>MockGateway (X-Mock-Outcome chỉ đọc khi NODE_ENV ≠ production) + POST /payments: header Idempotency-Key bắt buộc, body { orderId, method }; chủ đơn (404), trạng thái PENDING/PAYMENT_FAILED (409); thành công → PAID + cộng điểm (LoyaltyService.award); lỗi → PAYMENT_FAILED; thử lại bằng key mới; cùng key cùng nội dung → trả kết quả cũ; cùng key khác nội dung → 409.</t>
        </is>
      </c>
      <c r="E18" s="7" t="inlineStr">
        <is>
          <t>modules/payments/**</t>
        </is>
      </c>
      <c r="F18" s="7" t="inlineStr">
        <is>
          <t>Replay không tạo Payment mới; không 500 khi trùng key; chỉ gọi transition() để đổi trạng thái.</t>
        </is>
      </c>
      <c r="G18" s="7" t="inlineStr">
        <is>
          <t>Xong</t>
        </is>
      </c>
      <c r="H18" s="8" t="inlineStr">
        <is>
          <t>OK</t>
        </is>
      </c>
      <c r="I18" s="9" t="inlineStr">
        <is>
          <t>22/10/2026 00:10 (2515e1a)</t>
        </is>
      </c>
    </row>
    <row r="19" ht="24" customHeight="1">
      <c r="A19" s="7" t="inlineStr">
        <is>
          <t>GĐ1</t>
        </is>
      </c>
      <c r="B19" s="7" t="inlineStr">
        <is>
          <t>GD1-11</t>
        </is>
      </c>
      <c r="C19" s="7" t="inlineStr">
        <is>
          <t>Quang Huy</t>
        </is>
      </c>
      <c r="D19" s="7" t="inlineStr">
        <is>
          <t>GET /orders/me: lọc theo req.user.sub, mới nhất trước, phân trang, kèm items + trạng thái thanh toán.</t>
        </is>
      </c>
      <c r="E19" s="7" t="inlineStr">
        <is>
          <t>modules/orders/history/**</t>
        </is>
      </c>
      <c r="F19" s="7" t="inlineStr">
        <is>
          <t>User A không đọc được đơn của user B.</t>
        </is>
      </c>
      <c r="G19" s="7" t="inlineStr">
        <is>
          <t>Xong</t>
        </is>
      </c>
      <c r="H19" s="8" t="inlineStr">
        <is>
          <t>OK</t>
        </is>
      </c>
      <c r="I19" s="9" t="inlineStr">
        <is>
          <t>23/10/2026 09:36 (d7bb5bf)</t>
        </is>
      </c>
    </row>
    <row r="20" ht="24" customHeight="1">
      <c r="A20" s="7" t="inlineStr">
        <is>
          <t>GĐ1</t>
        </is>
      </c>
      <c r="B20" s="7" t="inlineStr">
        <is>
          <t>GD1-12</t>
        </is>
      </c>
      <c r="C20" s="7" t="inlineStr">
        <is>
          <t>Hào</t>
        </is>
      </c>
      <c r="D20" s="7" t="inlineStr">
        <is>
          <t>Script bắn N request song song POST /orders (dùng cho test (c)) + curl thử luồng Orders/Payments của Hạnh, Kiệt và báo lỗi cho đúng owner.</t>
        </is>
      </c>
      <c r="E20" s="7" t="inlineStr">
        <is>
          <t>backend/test/helpers/**</t>
        </is>
      </c>
      <c r="F20" s="7" t="inlineStr">
        <is>
          <t>1 lệnh chạy được; in số đơn thành công/thất bại và tồn kho cuối.</t>
        </is>
      </c>
      <c r="G20" s="7" t="inlineStr">
        <is>
          <t>Xong</t>
        </is>
      </c>
      <c r="H20" s="8" t="inlineStr">
        <is>
          <t>OK</t>
        </is>
      </c>
      <c r="I20" s="9" t="inlineStr">
        <is>
          <t>22/10/2026 20:37 (1fe259f)</t>
        </is>
      </c>
    </row>
    <row r="21" ht="14.25" customHeight="1">
      <c r="A21" s="10" t="inlineStr">
        <is>
          <t>GIAI ĐOẠN 2 — FRONTEND (song song; nối API thật; mọi màn dùng tốt ở 375px, có loading / empty / error)</t>
        </is>
      </c>
      <c r="B21" s="10" t="n"/>
      <c r="C21" s="10" t="n"/>
      <c r="D21" s="10" t="n"/>
      <c r="E21" s="10" t="n"/>
      <c r="F21" s="10" t="n"/>
      <c r="G21" s="10" t="n"/>
      <c r="H21" s="10" t="n"/>
      <c r="I21" s="10" t="n"/>
    </row>
    <row r="22" ht="26.25" customHeight="1">
      <c r="A22" s="7" t="inlineStr">
        <is>
          <t>GĐ2</t>
        </is>
      </c>
      <c r="B22" s="7" t="inlineStr">
        <is>
          <t>GD2-01</t>
        </is>
      </c>
      <c r="C22" s="7" t="inlineStr">
        <is>
          <t>Chiến</t>
        </is>
      </c>
      <c r="D22" s="7" t="inlineStr">
        <is>
          <t>FE Đăng nhập &amp; Đăng ký: form nhập auth, api-client gắn token Bearer, xử lý route guard bảo vệ các trang /checkout và /orders.</t>
        </is>
      </c>
      <c r="E22" s="7" t="inlineStr">
        <is>
          <t>frontend/src/app/auth/**, lib/api-client.ts, hooks/useRequireAuth.ts</t>
        </is>
      </c>
      <c r="F22" s="7" t="inlineStr">
        <is>
          <t>Giao diện tương tác được; đăng ký/đăng nhập thành công và lưu token; lỗi 401 tự chuyển hướng về login; route guard hoạt động.</t>
        </is>
      </c>
      <c r="G22" s="7" t="inlineStr">
        <is>
          <t>Xong</t>
        </is>
      </c>
      <c r="H22" s="8" t="inlineStr">
        <is>
          <t>OK</t>
        </is>
      </c>
      <c r="I22" s="9" t="inlineStr">
        <is>
          <t>23/10/2026 16:55 (205a59b)</t>
        </is>
      </c>
    </row>
    <row r="23" ht="26.25" customHeight="1">
      <c r="A23" s="7" t="inlineStr">
        <is>
          <t>GĐ2</t>
        </is>
      </c>
      <c r="B23" s="7" t="inlineStr">
        <is>
          <t>GD2-02</t>
        </is>
      </c>
      <c r="C23" s="7" t="inlineStr">
        <is>
          <t>Quang Huy</t>
        </is>
      </c>
      <c r="D23" s="7" t="inlineStr">
        <is>
          <t>FE AppShell &amp; Điều hướng chung: khung layout, BottomNav 3 tab (Menu, Giỏ có badge số lượng, Đơn hàng), tối ưu giao diện mobile 375px.</t>
        </is>
      </c>
      <c r="E23" s="7" t="inlineStr">
        <is>
          <t>frontend/src/components/shell/**, app/layout.tsx, app/globals.css</t>
        </is>
      </c>
      <c r="F23" s="7" t="inlineStr">
        <is>
          <t>Giao diện tương tác được; thanh BottomNav chuyển trang mượt; badge số lượng giỏ cập nhật tức thì; hiển thị chuẩn 360–430px.</t>
        </is>
      </c>
      <c r="G23" s="7" t="inlineStr">
        <is>
          <t>Xong</t>
        </is>
      </c>
      <c r="H23" s="8" t="inlineStr">
        <is>
          <t>OK</t>
        </is>
      </c>
      <c r="I23" s="9" t="inlineStr">
        <is>
          <t>23/10/2026 16:54 (592d477)</t>
        </is>
      </c>
    </row>
    <row r="24" ht="26.25" customHeight="1">
      <c r="A24" s="7" t="inlineStr">
        <is>
          <t>GĐ2</t>
        </is>
      </c>
      <c r="B24" s="7" t="inlineStr">
        <is>
          <t>GD2-03</t>
        </is>
      </c>
      <c r="C24" s="7" t="inlineStr">
        <is>
          <t>Quang Huy</t>
        </is>
      </c>
      <c r="D24" s="7" t="inlineStr">
        <is>
          <t>FE Lịch sử &amp; Chi tiết đơn hàng: trang /orders tải danh sách đơn từ API, màn xác nhận /orders/[id], hiển thị đúng 7 nhãn trạng thái và điểm tích lũy.</t>
        </is>
      </c>
      <c r="E24" s="7" t="inlineStr">
        <is>
          <t>frontend/src/app/orders/**, services/order.service.ts</t>
        </is>
      </c>
      <c r="F24" s="7" t="inlineStr">
        <is>
          <t>Giao diện tương tác được; xem được lịch sử đơn; xem chi tiết từng đơn hiển thị đầy đủ món, tổng tiền, điểm thưởng và trạng thái tiếng Việt.</t>
        </is>
      </c>
      <c r="G24" s="7" t="inlineStr">
        <is>
          <t>Xong</t>
        </is>
      </c>
      <c r="H24" s="8" t="inlineStr">
        <is>
          <t>OK</t>
        </is>
      </c>
      <c r="I24" s="9" t="inlineStr">
        <is>
          <t>23/10/2026 16:56 (629c021)</t>
        </is>
      </c>
    </row>
    <row r="25" ht="26.25" customHeight="1">
      <c r="A25" s="7" t="inlineStr">
        <is>
          <t>GĐ2</t>
        </is>
      </c>
      <c r="B25" s="7" t="inlineStr">
        <is>
          <t>GD2-04</t>
        </is>
      </c>
      <c r="C25" s="7" t="inlineStr">
        <is>
          <t>Lan</t>
        </is>
      </c>
      <c r="D25" s="7" t="inlineStr">
        <is>
          <t>FE Trang Menu sản phẩm: lưới thực đơn 2 cột, ProductCard hiển thị ảnh + fallback, tên món, giá bán, đủ các trạng thái loading/empty/error.</t>
        </is>
      </c>
      <c r="E25" s="7" t="inlineStr">
        <is>
          <t>frontend/src/app/menu/**, components/menu/**, components/ui/ProductImage.tsx</t>
        </is>
      </c>
      <c r="F25" s="7" t="inlineStr">
        <is>
          <t>Giao diện tương tác được; tải danh sách sản phẩm từ API; click vào món chuyển đúng sang trang chi tiết; ảnh lỗi tự hiển thị ảnh mặc định.</t>
        </is>
      </c>
      <c r="G25" s="7" t="inlineStr">
        <is>
          <t>Xong</t>
        </is>
      </c>
      <c r="H25" s="8" t="inlineStr">
        <is>
          <t>OK</t>
        </is>
      </c>
      <c r="I25" s="9" t="inlineStr">
        <is>
          <t>23/10/2026 16:55 (7f86721)</t>
        </is>
      </c>
    </row>
    <row r="26" ht="26.25" customHeight="1">
      <c r="A26" s="7" t="inlineStr">
        <is>
          <t>GĐ2</t>
        </is>
      </c>
      <c r="B26" s="7" t="inlineStr">
        <is>
          <t>GD2-05</t>
        </is>
      </c>
      <c r="C26" s="7" t="inlineStr">
        <is>
          <t>Lan</t>
        </is>
      </c>
      <c r="D26" s="7" t="inlineStr">
        <is>
          <t>FE Áp dụng mã khuyến mãi (Voucher): ô nhập mã voucher ở giỏ/checkout, gọi kiểm tra mã, hiển thị số tiền giảm và tính lại tổng thanh toán.</t>
        </is>
      </c>
      <c r="E26" s="7" t="inlineStr">
        <is>
          <t>frontend/src/app/cart/page.tsx, app/checkout/page.tsx</t>
        </is>
      </c>
      <c r="F26" s="7" t="inlineStr">
        <is>
          <t>Giao diện tương tác được; nhập mã hợp lệ giảm đúng số tiền; nhập mã sai báo lỗi rõ ràng và giữ nguyên trạng thái giỏ hàng.</t>
        </is>
      </c>
      <c r="G26" s="7" t="inlineStr">
        <is>
          <t>Xong</t>
        </is>
      </c>
      <c r="H26" s="8" t="inlineStr">
        <is>
          <t>OK</t>
        </is>
      </c>
      <c r="I26" s="9" t="inlineStr">
        <is>
          <t>23/10/2026 16:55 (f6cf3ea)</t>
        </is>
      </c>
    </row>
    <row r="27" ht="26.25" customHeight="1">
      <c r="A27" s="7" t="inlineStr">
        <is>
          <t>GĐ2</t>
        </is>
      </c>
      <c r="B27" s="7" t="inlineStr">
        <is>
          <t>GD2-06</t>
        </is>
      </c>
      <c r="C27" s="7" t="inlineStr">
        <is>
          <t>Vũ Huy</t>
        </is>
      </c>
      <c r="D27" s="7" t="inlineStr">
        <is>
          <t>FE Chi tiết món &amp; Tùy chọn: trang /products/[id], bộ chọn Size (S/M/L), chọn Topping (tối đa 3 loại), tăng/giảm số lượng 1..99, tự động tính giá tạm tính.</t>
        </is>
      </c>
      <c r="E27" s="7" t="inlineStr">
        <is>
          <t>frontend/src/app/products/[id]/**, components/product-detail/**</t>
        </is>
      </c>
      <c r="F27" s="7" t="inlineStr">
        <is>
          <t>Giao diện tương tác được; đổi size/topping giá cập nhật ngay; không cho chọn quá 3 topping; nút Thêm vào giỏ hoạt động chuẩn xác.</t>
        </is>
      </c>
      <c r="G27" s="7" t="inlineStr">
        <is>
          <t>Xong</t>
        </is>
      </c>
      <c r="H27" s="8" t="inlineStr">
        <is>
          <t>OK</t>
        </is>
      </c>
      <c r="I27" s="9" t="inlineStr">
        <is>
          <t>23/10/2026 16:55 (7f86721)</t>
        </is>
      </c>
    </row>
    <row r="28" ht="39" customHeight="1">
      <c r="A28" s="7" t="inlineStr">
        <is>
          <t>GĐ2</t>
        </is>
      </c>
      <c r="B28" s="7" t="inlineStr">
        <is>
          <t>GD2-07</t>
        </is>
      </c>
      <c r="C28" s="7" t="inlineStr">
        <is>
          <t>Hào</t>
        </is>
      </c>
      <c r="D28" s="7" t="inlineStr">
        <is>
          <t>FE Quản lý giỏ hàng (Cart State &amp; UI): store Zustand lưu giỏ hàng vào LocalStorage, tự gộp dòng khi trùng cấu hình, trang giỏ hàng /cart.</t>
        </is>
      </c>
      <c r="E28" s="7" t="inlineStr">
        <is>
          <t>frontend/src/store/useCartStore.ts, app/cart/**</t>
        </is>
      </c>
      <c r="F28" s="7" t="inlineStr">
        <is>
          <t>Giao diện tương tác được; thêm món vào giỏ cập nhật ngay; reload trang vẫn giữ nguyên giỏ hàng; giỏ rỗng tự disable nút thanh toán.</t>
        </is>
      </c>
      <c r="G28" s="7" t="inlineStr">
        <is>
          <t>Xong</t>
        </is>
      </c>
      <c r="H28" s="8" t="inlineStr">
        <is>
          <t>OK</t>
        </is>
      </c>
      <c r="I28" s="9" t="inlineStr">
        <is>
          <t>23/10/2026 16:55 (7f86721)</t>
        </is>
      </c>
    </row>
    <row r="29" ht="26.25" customHeight="1">
      <c r="A29" s="7" t="inlineStr">
        <is>
          <t>GĐ2</t>
        </is>
      </c>
      <c r="B29" s="7" t="inlineStr">
        <is>
          <t>GD2-08</t>
        </is>
      </c>
      <c r="C29" s="7" t="inlineStr">
        <is>
          <t>Hạnh</t>
        </is>
      </c>
      <c r="D29" s="7" t="inlineStr">
        <is>
          <t>FE Xác nhận đơn hàng &amp; Tạo đơn: trang /checkout tóm tắt giỏ, gửi POST /orders tạo đơn PENDING, lưu pendingOrderId, chặn bấm đúp đặt hàng.</t>
        </is>
      </c>
      <c r="E29" s="7" t="inlineStr">
        <is>
          <t>frontend/src/app/checkout/page.tsx, services/order.service.ts</t>
        </is>
      </c>
      <c r="F29" s="7" t="inlineStr">
        <is>
          <t>Giao diện tương tác được; bấm Đặt hàng tạo đơn thành công và chuyển sang thanh toán; không mất giỏ khi lỗi mạng; chặn bấm đúp.</t>
        </is>
      </c>
      <c r="G29" s="7" t="inlineStr">
        <is>
          <t>Xong</t>
        </is>
      </c>
      <c r="H29" s="8" t="inlineStr">
        <is>
          <t>OK</t>
        </is>
      </c>
      <c r="I29" s="9" t="inlineStr">
        <is>
          <t>23/10/2026 16:55 (f6cf3ea)</t>
        </is>
      </c>
    </row>
    <row r="30" ht="39" customHeight="1">
      <c r="A30" s="7" t="inlineStr">
        <is>
          <t>GĐ2</t>
        </is>
      </c>
      <c r="B30" s="7" t="inlineStr">
        <is>
          <t>GD2-09</t>
        </is>
      </c>
      <c r="C30" s="7" t="inlineStr">
        <is>
          <t>Kiệt</t>
        </is>
      </c>
      <c r="D30" s="7" t="inlineStr">
        <is>
          <t>FE Thanh toán không tiền mặt: màn /checkout/payment chọn Ví/Thẻ, tự tạo Idempotency-Key mới, modal Mock Gateway test thành công/thất bại, retry khi lỗi.</t>
        </is>
      </c>
      <c r="E30" s="7" t="inlineStr">
        <is>
          <t>frontend/src/app/checkout/payment/**, components/checkout/MockGatewayModal.tsx</t>
        </is>
      </c>
      <c r="F30" s="7" t="inlineStr">
        <is>
          <t>Giao diện tương tác được; thanh toán thành công tự xóa giỏ và sang xác nhận đơn; thanh toán thất bại giữ nguyên giỏ và cho phép thử lại.</t>
        </is>
      </c>
      <c r="G30" s="7" t="inlineStr">
        <is>
          <t>Xong</t>
        </is>
      </c>
      <c r="H30" s="8" t="inlineStr">
        <is>
          <t>OK</t>
        </is>
      </c>
      <c r="I30" s="9" t="inlineStr">
        <is>
          <t>23/10/2026 17:59 (56462ea)</t>
        </is>
      </c>
    </row>
    <row r="31" ht="14.25" customHeight="1">
      <c r="A31" s="11" t="inlineStr">
        <is>
          <t>GIAI ĐOẠN 3 — TÍCH HỢP + BÀN GIAO</t>
        </is>
      </c>
      <c r="B31" s="11" t="n"/>
      <c r="C31" s="11" t="n"/>
      <c r="D31" s="11" t="n"/>
      <c r="E31" s="11" t="n"/>
      <c r="F31" s="11" t="n"/>
      <c r="G31" s="11" t="n"/>
      <c r="H31" s="12" t="n"/>
      <c r="I31" s="12" t="n"/>
    </row>
    <row r="32" ht="15" customHeight="1">
      <c r="A32" s="7" t="inlineStr">
        <is>
          <t>GĐ3</t>
        </is>
      </c>
      <c r="B32" s="7" t="n"/>
      <c r="C32" s="7" t="n"/>
      <c r="D32" s="7" t="n"/>
      <c r="E32" s="7" t="n"/>
      <c r="F32" s="7" t="n"/>
      <c r="G32" s="7" t="n"/>
      <c r="H32" s="13" t="n"/>
      <c r="I32" s="13" t="n"/>
    </row>
    <row r="33" ht="15" customHeight="1">
      <c r="A33" s="7" t="inlineStr">
        <is>
          <t>GĐ3</t>
        </is>
      </c>
      <c r="B33" s="7" t="n"/>
      <c r="C33" s="7" t="n"/>
      <c r="D33" s="7" t="n"/>
      <c r="E33" s="7" t="n"/>
      <c r="F33" s="7" t="n"/>
      <c r="G33" s="7" t="n"/>
      <c r="H33" s="13" t="n"/>
      <c r="I33" s="13" t="n"/>
    </row>
    <row r="34" ht="15" customHeight="1">
      <c r="A34" s="7" t="inlineStr">
        <is>
          <t>GĐ3</t>
        </is>
      </c>
      <c r="B34" s="7" t="n"/>
      <c r="C34" s="7" t="n"/>
      <c r="D34" s="7" t="n"/>
      <c r="E34" s="7" t="n"/>
      <c r="F34" s="7" t="n"/>
      <c r="G34" s="7" t="n"/>
      <c r="H34" s="13" t="n"/>
      <c r="I34" s="13" t="n"/>
    </row>
    <row r="35" ht="15" customHeight="1">
      <c r="A35" s="7" t="inlineStr">
        <is>
          <t>GĐ3</t>
        </is>
      </c>
      <c r="B35" s="7" t="n"/>
      <c r="C35" s="7" t="n"/>
      <c r="D35" s="7" t="n"/>
      <c r="E35" s="7" t="n"/>
      <c r="F35" s="7" t="n"/>
      <c r="G35" s="7" t="n"/>
      <c r="H35" s="13" t="n"/>
      <c r="I35" s="13" t="n"/>
    </row>
    <row r="36" ht="15" customHeight="1">
      <c r="A36" s="7" t="inlineStr">
        <is>
          <t>GĐ3</t>
        </is>
      </c>
      <c r="B36" s="7" t="n"/>
      <c r="C36" s="7" t="n"/>
      <c r="D36" s="7" t="n"/>
      <c r="E36" s="7" t="n"/>
      <c r="F36" s="7" t="n"/>
      <c r="G36" s="7" t="n"/>
      <c r="H36" s="13" t="n"/>
      <c r="I36" s="13" t="n"/>
    </row>
    <row r="37" ht="15" customHeight="1">
      <c r="A37" s="7" t="inlineStr">
        <is>
          <t>GĐ3</t>
        </is>
      </c>
      <c r="B37" s="7" t="n"/>
      <c r="C37" s="7" t="n"/>
      <c r="D37" s="7" t="n"/>
      <c r="E37" s="7" t="n"/>
      <c r="F37" s="7" t="n"/>
      <c r="G37" s="7" t="n"/>
      <c r="H37" s="13" t="n"/>
      <c r="I37" s="13" t="n"/>
    </row>
    <row r="38" ht="15" customHeight="1">
      <c r="A38" s="7" t="inlineStr">
        <is>
          <t>GĐ3</t>
        </is>
      </c>
      <c r="B38" s="7" t="n"/>
      <c r="C38" s="7" t="n"/>
      <c r="D38" s="7" t="n"/>
      <c r="E38" s="7" t="n"/>
      <c r="F38" s="7" t="n"/>
      <c r="G38" s="7" t="n"/>
      <c r="H38" s="13" t="n"/>
      <c r="I38" s="13" t="n"/>
    </row>
    <row r="39" ht="15" customHeight="1">
      <c r="A39" s="7" t="inlineStr">
        <is>
          <t>GĐ3</t>
        </is>
      </c>
      <c r="B39" s="7" t="n"/>
      <c r="C39" s="7" t="n"/>
      <c r="D39" s="7" t="n"/>
      <c r="E39" s="7" t="n"/>
      <c r="F39" s="7" t="n"/>
      <c r="G39" s="7" t="n"/>
      <c r="H39" s="13" t="n"/>
      <c r="I39" s="13" t="n"/>
    </row>
  </sheetData>
  <conditionalFormatting sqref="G7:G39 H7:I8 H21:I21">
    <cfRule type="cellIs" priority="2" operator="equal" dxfId="3">
      <formula>"Xong"</formula>
    </cfRule>
    <cfRule type="cellIs" priority="3" operator="equal" dxfId="2">
      <formula>"Đang làm"</formula>
    </cfRule>
  </conditionalFormatting>
  <dataValidations count="1">
    <dataValidation sqref="G9:G20 G22:G30 G32:G39" showDropDown="0" showInputMessage="0" showErrorMessage="0" allowBlank="0" type="list">
      <formula1>"Chưa làm,Đang làm,Xong"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29"/>
  <sheetViews>
    <sheetView zoomScaleNormal="100" workbookViewId="0">
      <selection activeCell="C8" sqref="C8"/>
    </sheetView>
  </sheetViews>
  <sheetFormatPr baseColWidth="8" defaultColWidth="8.6640625" defaultRowHeight="14.4"/>
  <cols>
    <col width="6" customWidth="1" min="1" max="1"/>
    <col width="120" customWidth="1" min="2" max="2"/>
    <col width="13" customWidth="1" min="3" max="3"/>
  </cols>
  <sheetData>
    <row r="1" ht="17.25" customHeight="1">
      <c r="A1" s="1" t="n"/>
    </row>
    <row r="3" ht="14.25" customHeight="1">
      <c r="A3" s="3" t="inlineStr">
        <is>
          <t>Quy tắc</t>
        </is>
      </c>
    </row>
    <row r="4" ht="26.25" customHeight="1">
      <c r="A4" s="13" t="n">
        <v>1</v>
      </c>
      <c r="B4" s="14" t="inlineStr">
        <is>
          <t>Mỗi người chỉ sửa thư mục module của mình. File dùng chung (schema.prisma, app.module.ts, main.ts, common/**, layout.tsx, api-client.ts) chỉ Chiến sửa; seed.ts do Lan; components/shell + globals.css do Quang Huy trong GĐ2.</t>
        </is>
      </c>
    </row>
    <row r="5" ht="14.25" customHeight="1">
      <c r="A5" s="13" t="n">
        <v>2</v>
      </c>
      <c r="B5" s="14" t="inlineStr">
        <is>
          <t>Không đổi contract trong docs/ mà chưa báo Chiến. Docs là nguồn sự thật cho agent code.</t>
        </is>
      </c>
    </row>
    <row r="6" ht="14.25" customHeight="1">
      <c r="A6" s="13" t="n">
        <v>3</v>
      </c>
      <c r="B6" s="14" t="inlineStr">
        <is>
          <t>Giá và tổng tiền do backend tính (PricingService); FE chỉ hiển thị. Chỉ OrderService.transition() được ghi Order.status.</t>
        </is>
      </c>
    </row>
    <row r="7" ht="14.25" customHeight="1">
      <c r="A7" s="13" t="n">
        <v>4</v>
      </c>
      <c r="B7" s="14" t="inlineStr">
        <is>
          <t>Giỏ hàng chỉ bị xóa khi thanh toán thành công (đơn PAID); mọi lỗi tạo đơn / thanh toán giữ nguyên giỏ.</t>
        </is>
      </c>
    </row>
    <row r="8" ht="14.25" customHeight="1">
      <c r="A8" s="13" t="n">
        <v>5</v>
      </c>
      <c r="B8" s="14" t="inlineStr">
        <is>
          <t>Mỗi PR vào develop có ít nhất 1 người khác review; không commit thẳng vào main; commit message rõ ràng.</t>
        </is>
      </c>
    </row>
    <row r="9" ht="14.25" customHeight="1">
      <c r="A9" s="13" t="n">
        <v>6</v>
      </c>
      <c r="B9" s="14" t="inlineStr">
        <is>
          <t>Cuối GĐ1: mỗi người có request curl (hoặc file .http) chạy được cho mọi endpoint của mình trước khi sang GĐ2.</t>
        </is>
      </c>
    </row>
    <row r="10" ht="14.25" customHeight="1">
      <c r="A10" s="13" t="n">
        <v>7</v>
      </c>
      <c r="B10" s="14" t="inlineStr">
        <is>
          <t>Chỉ viết test cho Task 10 — (a), (b), (c) ở GĐ3. Không viết test FE, không Playwright, không CI.</t>
        </is>
      </c>
    </row>
    <row r="11" ht="14.25" customHeight="1">
      <c r="A11" s="13" t="n">
        <v>8</v>
      </c>
      <c r="B11" s="14" t="inlineStr">
        <is>
          <t>Không có secret trong repo; .env chỉ có .env.example.</t>
        </is>
      </c>
    </row>
    <row r="13" ht="14.25" customHeight="1">
      <c r="A13" s="3" t="inlineStr">
        <is>
          <t>Quyết định thiết kế (đã áp dụng trong docs)</t>
        </is>
      </c>
    </row>
    <row r="14" ht="14.25" customHeight="1">
      <c r="A14" s="3" t="inlineStr">
        <is>
          <t>D1</t>
        </is>
      </c>
      <c r="B14" s="14" t="inlineStr">
        <is>
          <t>Thanh toán lỗi → PAYMENT_FAILED; thử lại PAYMENT_FAILED → PENDING bằng Idempotency-Key mới, không giới hạn lần.</t>
        </is>
      </c>
    </row>
    <row r="15" ht="14.25" customHeight="1">
      <c r="A15" s="3" t="inlineStr">
        <is>
          <t>D2</t>
        </is>
      </c>
      <c r="B15" s="14" t="inlineStr">
        <is>
          <t>Giỏ chỉ xóa sau PAID; giỏ lưu pendingOrderId; giỏ đổi thì hủy đơn cũ và tạo đơn mới.</t>
        </is>
      </c>
    </row>
    <row r="16" ht="14.25" customHeight="1">
      <c r="A16" s="3" t="inlineStr">
        <is>
          <t>D3</t>
        </is>
      </c>
      <c r="B16" s="20" t="inlineStr">
        <is>
          <t>GET /products/:id trả toàn bộ topping đang bán; tồn kho do nguyên liệu quản lý, trừ bằng cập nhật có điều kiện nguyên tử stock &gt;= quantity (Ingredient không dùng version); cột version chỉ còn dùng cho Order (chuyển trạng thái); Product.stock, Product.version, Topping.stock là DEPRECATED.</t>
        </is>
      </c>
    </row>
    <row r="17" ht="14.25" customHeight="1">
      <c r="A17" s="3" t="inlineStr">
        <is>
          <t>D4</t>
        </is>
      </c>
      <c r="B17" s="14" t="inlineStr">
        <is>
          <t>req.user = { sub, email, role }; POST /orders không nhận userId.</t>
        </is>
      </c>
    </row>
    <row r="18" ht="14.25" customHeight="1">
      <c r="A18" s="3" t="inlineStr">
        <is>
          <t>D5</t>
        </is>
      </c>
      <c r="B18" s="14" t="inlineStr">
        <is>
          <t>Số lượng mỗi dòng 1..99.</t>
        </is>
      </c>
    </row>
    <row r="19" ht="14.25" customHeight="1">
      <c r="A19" s="3" t="inlineStr">
        <is>
          <t>D6</t>
        </is>
      </c>
      <c r="B19" s="14" t="inlineStr">
        <is>
          <t>Giữ 9 chuyển tiếp theo đề (kể cả PAID → CANCELLED ở state machine); thêm POST /orders/:id/cancel; không scheduler.</t>
        </is>
      </c>
    </row>
    <row r="20" ht="14.25" customHeight="1">
      <c r="A20" s="3" t="inlineStr">
        <is>
          <t>D7</t>
        </is>
      </c>
      <c r="B20" s="14" t="inlineStr">
        <is>
          <t>promotionCode tùy chọn trong POST /orders; PromotionsService.validate tính giảm giá.</t>
        </is>
      </c>
    </row>
    <row r="21" ht="14.25" customHeight="1">
      <c r="A21" s="3" t="inlineStr">
        <is>
          <t>D8</t>
        </is>
      </c>
      <c r="B21" s="14" t="inlineStr">
        <is>
          <t>Mock gateway điều khiển bằng header X-Mock-Outcome (chỉ khi NODE_ENV ≠ production); công tắc demo ở FE.</t>
        </is>
      </c>
    </row>
    <row r="22" ht="14.25" customHeight="1">
      <c r="A22" s="3" t="inlineStr">
        <is>
          <t>D9</t>
        </is>
      </c>
      <c r="B22" s="14" t="inlineStr">
        <is>
          <t>1 điểm / 1.000đ finalAmount (làm tròn xuống), chỉ cộng điểm, idempotent theo đơn.</t>
        </is>
      </c>
    </row>
    <row r="23" ht="26.4" customHeight="1">
      <c r="A23" s="21" t="inlineStr">
        <is>
          <t>D10</t>
        </is>
      </c>
      <c r="B23" s="20" t="inlineStr">
        <is>
          <t>Trừ kho nguyên liệu bằng cập nhật có điều kiện nguyên tử stock &gt;= qty (tx.ingredient.updateMany); gom nhu cầu theo ingredientId và sắp xếp tăng dần trước khi trừ để chống deadlock. Ingredient không có cột version.</t>
        </is>
      </c>
    </row>
    <row r="24" ht="26.4" customHeight="1">
      <c r="A24" s="21" t="inlineStr">
        <is>
          <t>D11</t>
        </is>
      </c>
      <c r="B24" s="20" t="inlineStr">
        <is>
          <t>Định mức nguyên liệu dùng đơn vị chuẩn g, ml, piece, lưu kiểu số nguyên Int. Mỗi bậc size tăng ~30–50% so với bậc dưới, làm tròn số nguyên.</t>
        </is>
      </c>
    </row>
    <row r="25">
      <c r="A25" s="21" t="inlineStr">
        <is>
          <t>D12</t>
        </is>
      </c>
      <c r="B25" s="20" t="inlineStr">
        <is>
          <t>Hoãn hiển thị menu theo tồn kho nguyên liệu sang Giai đoạn 2. Giai đoạn 1 giữ nguyên GET /products, không lọc tồn kho nguyên liệu.</t>
        </is>
      </c>
    </row>
    <row r="26" ht="26.4" customHeight="1">
      <c r="A26" s="21" t="inlineStr">
        <is>
          <t>D13</t>
        </is>
      </c>
      <c r="B26" s="20" t="inlineStr">
        <is>
          <t>Giữ nguyên các trường Product.stock, Product.version, Topping.stock trong schema (đánh dấu DEPRECATED), không xóa cột ở Giai đoạn 1 để tránh xung đột ngược.</t>
        </is>
      </c>
    </row>
    <row r="27">
      <c r="A27" s="21" t="inlineStr">
        <is>
          <t>D14</t>
        </is>
      </c>
      <c r="B27" s="20" t="inlineStr">
        <is>
          <t>Hoãn kiểm tra giỏ hàng khả dụng sang Giai đoạn 2. Frontend giữ nguyên, không validate nguyên liệu tại client giỏ hàng.</t>
        </is>
      </c>
    </row>
    <row r="28" ht="26.4" customHeight="1">
      <c r="A28" s="21" t="inlineStr">
        <is>
          <t>D15</t>
        </is>
      </c>
      <c r="B28" s="20" t="inlineStr">
        <is>
          <t>Khi tạo đơn hàng (POST /orders), nếu dòng món thiếu bản ghi ProductRecipe cho (productId, size) thì trả HTTP 400 kèm message rõ ràng, không được coi là tiêu hao 0; kiểm tra trước khi trừ kho.</t>
        </is>
      </c>
    </row>
    <row r="29" ht="45" customHeight="1">
      <c r="A29" s="21" t="inlineStr">
        <is>
          <t>D16</t>
        </is>
      </c>
      <c r="B29" s="20" t="inlineStr">
        <is>
          <t>Thêm User.role (Role: CUSTOMER, ADMIN, BARISTA, mặc định CUSTOMER), đưa vào JWT payload và req.user; bảo vệ route bằng @Roles() + RolesGuard (trả 403 nếu thiếu quyền); client không gửi role khi đăng ký; đăng nhập ADMIN chuyển tới /admin.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4"/>
  <sheetViews>
    <sheetView zoomScaleNormal="100" workbookViewId="0">
      <selection activeCell="B14" sqref="B14"/>
    </sheetView>
  </sheetViews>
  <sheetFormatPr baseColWidth="8" defaultColWidth="8.6640625" defaultRowHeight="14.4"/>
  <cols>
    <col width="9" customWidth="1" min="1" max="1"/>
    <col width="36" customWidth="1" min="2" max="2"/>
    <col width="20" customWidth="1" min="3" max="3"/>
    <col width="42" customWidth="1" min="4" max="4"/>
    <col width="9" customWidth="1" min="5" max="5"/>
    <col width="12" customWidth="1" min="6" max="6"/>
  </cols>
  <sheetData>
    <row r="1" ht="17.25" customHeight="1">
      <c r="A1" s="1" t="inlineStr">
        <is>
          <t>ĐỐI CHIẾU 10 TASK CỦA ĐỀ</t>
        </is>
      </c>
    </row>
    <row r="3" ht="14.25" customHeight="1">
      <c r="A3" s="15" t="inlineStr">
        <is>
          <t>Task đề</t>
        </is>
      </c>
      <c r="B3" s="15" t="inlineStr">
        <is>
          <t>Tên task</t>
        </is>
      </c>
      <c r="C3" s="15" t="inlineStr">
        <is>
          <t>Owner chính</t>
        </is>
      </c>
      <c r="D3" s="15" t="inlineStr">
        <is>
          <t>Task trong sheet Phan_cong</t>
        </is>
      </c>
      <c r="E3" s="15" t="inlineStr">
        <is>
          <t>Số task</t>
        </is>
      </c>
      <c r="F3" s="15" t="inlineStr">
        <is>
          <t>Trạng thái</t>
        </is>
      </c>
    </row>
    <row r="4" ht="14.25" customHeight="1">
      <c r="A4" s="7" t="n">
        <v>1</v>
      </c>
      <c r="B4" s="7" t="inlineStr">
        <is>
          <t>Khởi tạo dự án và cấu trúc</t>
        </is>
      </c>
      <c r="C4" s="7" t="inlineStr">
        <is>
          <t>Chiến</t>
        </is>
      </c>
      <c r="D4" s="7" t="inlineStr">
        <is>
          <t>GD1-02, GD3-04</t>
        </is>
      </c>
      <c r="E4" s="7">
        <f>COUNTIF(Phan_cong!$B$7:$B$39,"GD1-02")+COUNTIF(Phan_cong!$B$7:$B$39,"GD3-04")</f>
        <v/>
      </c>
      <c r="F4" s="7">
        <f>IF(E4&gt;=(LEN(D4)-LEN(SUBSTITUTE(D4,",",""))+1),"Đã phủ","THIẾU")</f>
        <v/>
      </c>
    </row>
    <row r="5" ht="14.25" customHeight="1">
      <c r="A5" s="7" t="n">
        <v>2</v>
      </c>
      <c r="B5" s="7" t="inlineStr">
        <is>
          <t>API danh sách sản phẩm</t>
        </is>
      </c>
      <c r="C5" s="7" t="inlineStr">
        <is>
          <t>Lan</t>
        </is>
      </c>
      <c r="D5" s="7" t="inlineStr">
        <is>
          <t>GD1-03, GD1-04</t>
        </is>
      </c>
      <c r="E5" s="7">
        <f>COUNTIF(Phan_cong!$B$7:$B$39,"GD1-03")+COUNTIF(Phan_cong!$B$7:$B$39,"GD1-04")</f>
        <v/>
      </c>
      <c r="F5" s="7">
        <f>IF(E5&gt;=(LEN(D5)-LEN(SUBSTITUTE(D5,",",""))+1),"Đã phủ","THIẾU")</f>
        <v/>
      </c>
    </row>
    <row r="6" ht="14.25" customHeight="1">
      <c r="A6" s="7" t="n">
        <v>3</v>
      </c>
      <c r="B6" s="7" t="inlineStr">
        <is>
          <t>Trang Menu (Frontend)</t>
        </is>
      </c>
      <c r="C6" s="7" t="inlineStr">
        <is>
          <t>Lan</t>
        </is>
      </c>
      <c r="D6" s="7" t="inlineStr">
        <is>
          <t>GD2-04</t>
        </is>
      </c>
      <c r="E6" s="7">
        <f>COUNTIF(Phan_cong!$B$7:$B$39,"GD2-04")</f>
        <v/>
      </c>
      <c r="F6" s="7">
        <f>IF(E6&gt;=(LEN(D6)-LEN(SUBSTITUTE(D6,",",""))+1),"Đã phủ","THIẾU")</f>
        <v/>
      </c>
    </row>
    <row r="7" ht="14.25" customHeight="1">
      <c r="A7" s="7" t="n">
        <v>4</v>
      </c>
      <c r="B7" s="7" t="inlineStr">
        <is>
          <t>Chi tiết và tùy chọn sản phẩm</t>
        </is>
      </c>
      <c r="C7" s="7" t="inlineStr">
        <is>
          <t>Vũ Huy</t>
        </is>
      </c>
      <c r="D7" s="7" t="inlineStr">
        <is>
          <t>GD1-06, GD2-06</t>
        </is>
      </c>
      <c r="E7" s="7">
        <f>COUNTIF(Phan_cong!$B$7:$B$39,"GD1-06")+COUNTIF(Phan_cong!$B$7:$B$39,"GD2-06")</f>
        <v/>
      </c>
      <c r="F7" s="7">
        <f>IF(E7&gt;=(LEN(D7)-LEN(SUBSTITUTE(D7,",",""))+1),"Đã phủ","THIẾU")</f>
        <v/>
      </c>
    </row>
    <row r="8" ht="14.25" customHeight="1">
      <c r="A8" s="7" t="n">
        <v>5</v>
      </c>
      <c r="B8" s="7" t="inlineStr">
        <is>
          <t>Giỏ hàng (Cart)</t>
        </is>
      </c>
      <c r="C8" s="7" t="inlineStr">
        <is>
          <t>Hào</t>
        </is>
      </c>
      <c r="D8" s="7" t="inlineStr">
        <is>
          <t>GD2-07</t>
        </is>
      </c>
      <c r="E8" s="7">
        <f>COUNTIF(Phan_cong!$B$7:$B$39,"GD2-07")</f>
        <v/>
      </c>
      <c r="F8" s="7">
        <f>IF(E8&gt;=(LEN(D8)-LEN(SUBSTITUTE(D8,",",""))+1),"Đã phủ","THIẾU")</f>
        <v/>
      </c>
    </row>
    <row r="9" ht="14.25" customHeight="1">
      <c r="A9" s="7" t="n">
        <v>6</v>
      </c>
      <c r="B9" s="7" t="inlineStr">
        <is>
          <t>API tạo đơn hàng</t>
        </is>
      </c>
      <c r="C9" s="7" t="inlineStr">
        <is>
          <t>Hạnh</t>
        </is>
      </c>
      <c r="D9" s="7" t="inlineStr">
        <is>
          <t>GD1-09, GD2-08</t>
        </is>
      </c>
      <c r="E9" s="7">
        <f>COUNTIF(Phan_cong!$B$7:$B$39,"GD1-09")+COUNTIF(Phan_cong!$B$7:$B$39,"GD2-08")</f>
        <v/>
      </c>
      <c r="F9" s="7">
        <f>IF(E9&gt;=(LEN(D9)-LEN(SUBSTITUTE(D9,",",""))+1),"Đã phủ","THIẾU")</f>
        <v/>
      </c>
    </row>
    <row r="10" ht="14.25" customHeight="1">
      <c r="A10" s="7" t="n">
        <v>7</v>
      </c>
      <c r="B10" s="7" t="inlineStr">
        <is>
          <t>Đăng ký / Đăng nhập (JWT)</t>
        </is>
      </c>
      <c r="C10" s="7" t="inlineStr">
        <is>
          <t>Chiến</t>
        </is>
      </c>
      <c r="D10" s="7" t="inlineStr">
        <is>
          <t>GD1-01, GD2-01</t>
        </is>
      </c>
      <c r="E10" s="7">
        <f>COUNTIF(Phan_cong!$B$7:$B$39,"GD1-01")+COUNTIF(Phan_cong!$B$7:$B$39,"GD2-01")</f>
        <v/>
      </c>
      <c r="F10" s="7">
        <f>IF(E10&gt;=(LEN(D10)-LEN(SUBSTITUTE(D10,",",""))+1),"Đã phủ","THIẾU")</f>
        <v/>
      </c>
    </row>
    <row r="11" ht="14.25" customHeight="1">
      <c r="A11" s="7" t="n">
        <v>8</v>
      </c>
      <c r="B11" s="7" t="inlineStr">
        <is>
          <t>Thanh toán không tiền mặt</t>
        </is>
      </c>
      <c r="C11" s="7" t="inlineStr">
        <is>
          <t>Kiệt</t>
        </is>
      </c>
      <c r="D11" s="7" t="inlineStr">
        <is>
          <t>GD1-10, GD2-09</t>
        </is>
      </c>
      <c r="E11" s="7">
        <f>COUNTIF(Phan_cong!$B$7:$B$39,"GD1-10")+COUNTIF(Phan_cong!$B$7:$B$39,"GD2-09")</f>
        <v/>
      </c>
      <c r="F11" s="7">
        <f>IF(E11&gt;=(LEN(D11)-LEN(SUBSTITUTE(D11,",",""))+1),"Đã phủ","THIẾU")</f>
        <v/>
      </c>
    </row>
    <row r="12" ht="15" customHeight="1">
      <c r="A12" s="7" t="n">
        <v>9</v>
      </c>
      <c r="B12" s="7" t="inlineStr">
        <is>
          <t>Xác nhận, lịch sử đơn &amp; bàn giao</t>
        </is>
      </c>
      <c r="C12" s="7" t="inlineStr">
        <is>
          <t>Quang Huy</t>
        </is>
      </c>
      <c r="D12" s="7" t="inlineStr">
        <is>
          <t>GD1-11, GD2-03, GD3-04, GD3-08</t>
        </is>
      </c>
      <c r="E12" s="7">
        <f>COUNTIF(Phan_cong!$B$7:$B$39,"GD1-11")+COUNTIF(Phan_cong!$B$7:$B$39,"GD2-03")+COUNTIF(Phan_cong!$B$7:$B$39,"GD3-04")+COUNTIF(Phan_cong!$B$7:$B$39,"GD3-08")</f>
        <v/>
      </c>
      <c r="F12" s="7">
        <f>IF(E12&gt;=(LEN(D12)-LEN(SUBSTITUTE(D12,",",""))+1),"Đã phủ","THIẾU")</f>
        <v/>
      </c>
    </row>
    <row r="13" ht="14.25" customHeight="1">
      <c r="A13" s="7" t="n">
        <v>10</v>
      </c>
      <c r="B13" s="7" t="inlineStr">
        <is>
          <t>Nghiệp vụ backend (a)(b)(c)</t>
        </is>
      </c>
      <c r="C13" s="7" t="inlineStr">
        <is>
          <t>Hạnh / Kiệt / Hào</t>
        </is>
      </c>
      <c r="D13" s="7" t="inlineStr">
        <is>
          <t>GD1-08, GD1-10, GD3-01, GD3-02, GD3-03</t>
        </is>
      </c>
      <c r="E13" s="7">
        <f>COUNTIF(Phan_cong!$B$7:$B$39,"GD1-08")+COUNTIF(Phan_cong!$B$7:$B$39,"GD1-10")+COUNTIF(Phan_cong!$B$7:$B$39,"GD3-01")+COUNTIF(Phan_cong!$B$7:$B$39,"GD3-02")+COUNTIF(Phan_cong!$B$7:$B$39,"GD3-03")</f>
        <v/>
      </c>
      <c r="F13" s="7">
        <f>IF(E13&gt;=(LEN(D13)-LEN(SUBSTITUTE(D13,",",""))+1),"Đã phủ","THIẾU")</f>
        <v/>
      </c>
    </row>
    <row r="14" ht="14.25" customHeight="1">
      <c r="A14" s="3" t="inlineStr">
        <is>
          <t>Tổng</t>
        </is>
      </c>
      <c r="F14" s="3">
        <f>IF(COUNTIF(F4:F13,"THIẾU")=0,"Đủ 10/10","Còn thiếu")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35"/>
  <sheetViews>
    <sheetView tabSelected="1" zoomScale="85" zoomScaleNormal="85" workbookViewId="0">
      <pane ySplit="6" topLeftCell="A8" activePane="bottomLeft" state="frozen"/>
      <selection pane="bottomLeft" activeCell="A13" sqref="A13:I20"/>
    </sheetView>
  </sheetViews>
  <sheetFormatPr baseColWidth="8" defaultColWidth="8.6640625" defaultRowHeight="14.4"/>
  <cols>
    <col width="10" customWidth="1" min="1" max="1"/>
    <col width="12" customWidth="1" min="2" max="3"/>
    <col width="82" customWidth="1" min="4" max="4"/>
    <col width="44" customWidth="1" min="5" max="6"/>
    <col width="12" customWidth="1" min="7" max="7"/>
    <col width="15" customWidth="1" min="8" max="8"/>
    <col width="30" customWidth="1" min="9" max="9"/>
  </cols>
  <sheetData>
    <row r="1" ht="17.4" customHeight="1">
      <c r="A1" s="16" t="inlineStr">
        <is>
          <t>BREWLITE — CHANGE REQUEST (CR-01): QUẢN LÝ TỒN KHO THEO NGUYÊN LIỆU</t>
        </is>
      </c>
    </row>
    <row r="2" ht="15" customHeight="1">
      <c r="A2" s="17" t="inlineStr">
        <is>
          <t>Phần việc thực hiện của LEADER (Chiến): Thiết kế CR, cập nhật DB docs/UML, Prisma Schema &amp; Migration, Helper trừ/hoàn kho và Unit tests.</t>
        </is>
      </c>
    </row>
    <row r="3" ht="15" customHeight="1">
      <c r="A3" s="18" t="inlineStr">
        <is>
          <t>Tiến độ (số task Xong):</t>
        </is>
      </c>
      <c r="C3" s="18">
        <f>COUNTIF(G8:G30,"Xong")&amp;" / "&amp;COUNTA(B8:B30)</f>
        <v/>
      </c>
    </row>
    <row r="6" ht="15" customHeight="1">
      <c r="A6" s="19" t="inlineStr">
        <is>
          <t>Giai đoạn</t>
        </is>
      </c>
      <c r="B6" s="19" t="inlineStr">
        <is>
          <t>ID</t>
        </is>
      </c>
      <c r="C6" s="19" t="inlineStr">
        <is>
          <t>Người</t>
        </is>
      </c>
      <c r="D6" s="19" t="inlineStr">
        <is>
          <t>Việc cần làm</t>
        </is>
      </c>
      <c r="E6" s="19" t="inlineStr">
        <is>
          <t>File / thư mục</t>
        </is>
      </c>
      <c r="F6" s="19" t="inlineStr">
        <is>
          <t>Xong khi</t>
        </is>
      </c>
      <c r="G6" s="19" t="inlineStr">
        <is>
          <t>Status</t>
        </is>
      </c>
      <c r="H6" s="19" t="inlineStr">
        <is>
          <t>Leader Duyệt</t>
        </is>
      </c>
      <c r="I6" s="19" t="inlineStr">
        <is>
          <t>Ngày Hoàn thành Task</t>
        </is>
      </c>
    </row>
    <row r="7" ht="24" customHeight="1">
      <c r="A7" s="33" t="inlineStr">
        <is>
          <t>GIAI ĐOẠN 1 — THIẾT KẾ NỀN TẢNG, SCHEMA, MIGRATION &amp; HELPER (LEADER CHIẾN)</t>
        </is>
      </c>
      <c r="B7" s="42" t="n"/>
      <c r="C7" s="42" t="n"/>
      <c r="D7" s="42" t="n"/>
      <c r="E7" s="42" t="n"/>
      <c r="F7" s="42" t="n"/>
      <c r="G7" s="42" t="n"/>
      <c r="H7" s="42" t="n"/>
      <c r="I7" s="43" t="n"/>
    </row>
    <row r="8" ht="120" customHeight="1">
      <c r="A8" s="35" t="inlineStr">
        <is>
          <t>GĐ1-CR</t>
        </is>
      </c>
      <c r="B8" s="36" t="inlineStr">
        <is>
          <t>CR-DESIGN</t>
        </is>
      </c>
      <c r="C8" s="36" t="inlineStr">
        <is>
          <t>Chiến</t>
        </is>
      </c>
      <c r="D8" s="37" t="inlineStr">
        <is>
          <t>Thiết kế toàn diện kiến trúc tồn kho theo nguyên liệu &amp; phân quyền (CR-01):
1. Viết lại CR doc (docs/change-request-ingredients.md) chốt D10–D16 (trừ kho nguyên tử tx.ingredient.updateMany, định lượng S/M/L theo g/ml, D15 thiếu công thức -&gt; 400, D16 phân quyền User.role).
2. Sửa thiết kế DB &amp; sơ đồ kiến trúc (docs/database-design.md, database-erd.puml, database-uml.puml, re-export SVG/PNG).
3. Đặc tả module Auth (docs/auth/**), JWT payload, req.user = { sub, email, role }, @Roles() và RolesGuard (403 Forbidden), thêm TC-AUTH-09, 10.
4. Thêm 4 model Prisma &amp; migration add_ingredient_inventory; viết helper deductIngredients/restoreIngredients (trả về danh sách usages đã gom) kèm unit test Jest 100% pass.
5. Đồng bộ sheet Quy_tac (D3, D4, D10–D16) và bảng phân công.</t>
        </is>
      </c>
      <c r="E8" s="37" t="inlineStr">
        <is>
          <t>docs/change-request-ingredients.md
docs/database-design.md, docs/database-uml.*
docs/architecture/database-erd.*
docs/auth/**
backend/prisma/**, backend/src/common/ingredient-stock.helper.*
sheet Quy_tac, docs/BrewLite_PhanCong_NguyenLieu.xlsx</t>
        </is>
      </c>
      <c r="F8" s="37" t="inlineStr">
        <is>
          <t>CR &amp; DB docs chuẩn D10-D16; sơ đồ ERD/UML khớp 100% schema; Helper + unit test Jest pass 100%; build pass sạch sẽ.</t>
        </is>
      </c>
      <c r="G8" s="38" t="inlineStr">
        <is>
          <t>Xong</t>
        </is>
      </c>
      <c r="H8" s="36" t="inlineStr">
        <is>
          <t>OK</t>
        </is>
      </c>
      <c r="I8" s="35" t="inlineStr">
        <is>
          <t>27/10/2026 - 28/10/2026</t>
        </is>
      </c>
    </row>
    <row r="9" ht="95" customHeight="1">
      <c r="A9" s="35" t="inlineStr">
        <is>
          <t>GĐ1-CR</t>
        </is>
      </c>
      <c r="B9" s="36" t="inlineStr">
        <is>
          <t>CR-ROLE</t>
        </is>
      </c>
      <c r="C9" s="36" t="inlineStr">
        <is>
          <t>Chiến</t>
        </is>
      </c>
      <c r="D9" s="37" t="inlineStr">
        <is>
          <t>Hiện thực mã nguồn User.role &amp; RolesGuard:
1. Thêm enum Role { CUSTOMER, ADMIN, BARISTA } và cột role vào schema.prisma; tạo migration add_user_role.
2. Cập nhật auth.service: đưa role vào JWT access token và req.user = { sub, email, role }.
3. Viết decorator @Roles() và RolesGuard (trả 403 nếu thiếu quyền); RegisterDto không nhận role từ client.
4. Frontend: lưu role trong useAuthStore; đăng nhập ADMIN chuyển hướng tới /admin, CUSTOMER ở trang mua sắm; useRequireAuth nhận tham số role.
5. Viết unit test cho RolesGuard.</t>
        </is>
      </c>
      <c r="E9" s="37" t="inlineStr">
        <is>
          <t>backend/prisma/schema.prisma, migrations
backend/src/modules/auth/**, backend/src/common/**
frontend/src/store/useAuthStore.ts, frontend/src/hooks/useRequireAuth.ts
app/auth/login, app/admin/page.tsx</t>
        </is>
      </c>
      <c r="F9" s="37" t="inlineStr">
        <is>
          <t>Migration chạy sạch; build + test pass; user mặc định CUSTOMER; CUSTOMER gọi route @Roles(ADMIN) nhận 403; đăng nhập ADMIN chuyển tới /admin; branch CR-Chien sẵn sàng merge develop.</t>
        </is>
      </c>
      <c r="G9" s="36" t="inlineStr">
        <is>
          <t>Xong</t>
        </is>
      </c>
      <c r="H9" s="35" t="inlineStr">
        <is>
          <t>OK</t>
        </is>
      </c>
      <c r="I9" s="35" t="inlineStr">
        <is>
          <t>28/10/2026</t>
        </is>
      </c>
    </row>
    <row r="10" ht="24" customHeight="1">
      <c r="A10" s="39" t="inlineStr">
        <is>
          <t>GIAI ĐOẠN 2 — TRIỂN KHAI NGUYÊN LIỆU THEO FEATURE (CODE SONG SONG THEO HỢP ĐỒNG — HẠN MERGE: CHIỀU 30/10)</t>
        </is>
      </c>
      <c r="B10" s="42" t="n"/>
      <c r="C10" s="42" t="n"/>
      <c r="D10" s="42" t="n"/>
      <c r="E10" s="42" t="n"/>
      <c r="F10" s="42" t="n"/>
      <c r="G10" s="42" t="n"/>
      <c r="H10" s="42" t="n"/>
      <c r="I10" s="43" t="n"/>
    </row>
    <row r="11">
      <c r="A11" s="44" t="inlineStr">
        <is>
          <t>GĐ2-CR</t>
        </is>
      </c>
      <c r="B11" s="45" t="inlineStr">
        <is>
          <t>CR-LAN</t>
        </is>
      </c>
      <c r="C11" s="45" t="inlineStr">
        <is>
          <t>Lan</t>
        </is>
      </c>
      <c r="D11" s="46" t="inlineStr">
        <is>
          <t>Seed dữ liệu nguyên liệu &amp; tài khoản Quản trị:
1. Seed danh mục Ingredient (tên, unit, stock, reorderLevel).
2. Seed ProductRecipe cho MỌI (món, size) và ToppingRecipe cho các topping (tránh lỗi 400 D15).
3. Tạo 1 nguyên liệu có tồn kho thấp để phục vụ test hết hàng.
4. Seed tài khoản ADMIN mẫu (role: Role.ADMIN, bcrypt 10 rounds), đọc từ env với fallback mặc định.
5. Viết tài liệu định mức pha chế docs/seed-recipes.md.</t>
        </is>
      </c>
      <c r="E11" s="46" t="inlineStr">
        <is>
          <t>backend/prisma/seed.ts
backend/.env.example
docs/seed-recipes.md</t>
        </is>
      </c>
      <c r="F11" s="46" t="inlineStr">
        <is>
          <t>npx prisma db seed chạy 2 lần liên tiếp không lỗi; DB có đủ nguyên liệu &amp; công thức mọi món/size; đăng nhập được tài khoản Admin; docs định mức hoàn thành.</t>
        </is>
      </c>
      <c r="G11" s="45" t="inlineStr">
        <is>
          <t>Chưa làm</t>
        </is>
      </c>
      <c r="H11" s="45" t="n"/>
      <c r="I11" s="44" t="n"/>
    </row>
    <row r="12">
      <c r="A12" s="44" t="inlineStr">
        <is>
          <t>GĐ2-CR</t>
        </is>
      </c>
      <c r="B12" s="45" t="inlineStr">
        <is>
          <t>CR-HANH</t>
        </is>
      </c>
      <c r="C12" s="45" t="inlineStr">
        <is>
          <t>Hạnh</t>
        </is>
      </c>
      <c r="D12" s="46" t="inlineStr">
        <is>
          <t>Tạo đơn hàng &amp; Trừ kho nguyên liệu:
1. GỠ KHO CŨ: Xóa bỏ hoàn toàn đoạn code trừ Product.stock (optimistic lock version) và Topping.stock cũ (dòng 156–202 trong orders.service.ts).
2. KIỂM TRA D15: Tra ProductRecipe(productId, size) và ToppingRecipe x quantity. Nếu thiếu công thức -&gt; ném BadRequestException (Món "&lt;tên&gt;" (size S/M/L) chưa có công thức nguyên liệu).
3. TRỪ KHO NGUYÊN TỬ: Gom needs và gọi deductIngredients(tx, needs).
4. LƯU SNAPSHOT: Tạo OrderIngredientUsage từ danh sách usage helper trả về.
5. SỬA TEST CŨ: Sửa orders.service.spec.ts (gỡ mock stock Product cũ, thay bằng mock recipe và deductIngredients).</t>
        </is>
      </c>
      <c r="E12" s="46" t="inlineStr">
        <is>
          <t>backend/src/modules/orders/orders.service.ts
backend/src/modules/orders/orders.service.spec.ts
docs/order/**</t>
        </is>
      </c>
      <c r="F12" s="46" t="inlineStr">
        <is>
          <t>Đơn trừ đúng số lượng gram/ml của từng nguyên liệu; thiếu công thức trả 400 rõ ràng; thiếu nguyên liệu trả 400 nêu tên; lưu snapshot đầy đủ; test orders pass 100%.</t>
        </is>
      </c>
      <c r="G12" s="45" t="inlineStr">
        <is>
          <t>Chưa làm</t>
        </is>
      </c>
      <c r="H12" s="45" t="n"/>
      <c r="I12" s="44" t="n"/>
    </row>
    <row r="13">
      <c r="A13" s="44" t="inlineStr">
        <is>
          <t>GĐ2-CR</t>
        </is>
      </c>
      <c r="B13" s="45" t="inlineStr">
        <is>
          <t>CR-VUHUY</t>
        </is>
      </c>
      <c r="C13" s="45" t="inlineStr">
        <is>
          <t>Vũ Huy</t>
        </is>
      </c>
      <c r="D13" s="46" t="inlineStr">
        <is>
          <t>Hủy đơn hoàn nguyên liệu theo Snapshot:
1. GỠ KHO CŨ: Xóa bỏ hoàn toàn đoạn cộng lại Product.stock và Topping.stock cũ (dòng 62–79 trong cancel-order.service.ts).
2. HOÀN THEO SNAPSHOT: Lấy usages từ tx.orderIngredientUsage.findMany({ where: { orderId } }). Nếu có usages -&gt; gọi restoreIngredients(tx, usages) trong cùng transaction với transition().
3. TƯƠNG THÍCH: Đơn cũ không có snapshot thì bỏ qua, không ném 500.
4. GIỮ NGUYÊN RULE: 404 khác chủ, 409 sai trạng thái, 409 hủy 2 lần (không hoàn kho lần 2).
5. VIẾT TEST: Tạo mới cancel-order.service.spec.ts và cập nhật requests/cancel-order.http.</t>
        </is>
      </c>
      <c r="E13" s="46" t="inlineStr">
        <is>
          <t>backend/src/modules/orders/cancel/**
backend/src/modules/orders/cancel/cancel-order.service.spec.ts
backend/requests/cancel-order.http</t>
        </is>
      </c>
      <c r="F13" s="46" t="inlineStr">
        <is>
          <t>Hủy đơn hoàn đúng từng nguyên liệu theo snapshot; đơn cũ không lỗi; không hoàn kho 2 lần; test cancel pass 100%.</t>
        </is>
      </c>
      <c r="G13" s="45" t="inlineStr">
        <is>
          <t>Chưa làm</t>
        </is>
      </c>
      <c r="H13" s="45" t="n"/>
      <c r="I13" s="44" t="n"/>
    </row>
    <row r="14">
      <c r="A14" s="44" t="inlineStr">
        <is>
          <t>GĐ2-CR</t>
        </is>
      </c>
      <c r="B14" s="45" t="inlineStr">
        <is>
          <t>CR-KIET</t>
        </is>
      </c>
      <c r="C14" s="45" t="inlineStr">
        <is>
          <t>Kiệt</t>
        </is>
      </c>
      <c r="D14" s="46" t="inlineStr">
        <is>
          <t>Thanh toán bảo toàn tồn kho nguyên liệu:
1. Rà soát POST /payments: Xác nhận thanh toán thất bại (PAYMENT_FAILED) KHÔNG gọi trừ/hoàn nguyên liệu (giữ nguyên liệu chờ thử lại theo D1).
2. Thử lại thanh toán hoặc gửi lặp Idempotency-Key không làm thay đổi tồn kho nguyên liệu.
3. Thêm test case vào payments.service.spec.ts khẳng định tồn kho nguyên liệu không đổi trong các tình huống fail/retry/replay.
4. Cập nhật docs/payment/** và backend/requests/payment.http.</t>
        </is>
      </c>
      <c r="E14" s="46" t="inlineStr">
        <is>
          <t>backend/src/modules/payments/**
backend/src/modules/payments/payments.service.spec.ts
docs/payment/**
backend/requests/payment.http</t>
        </is>
      </c>
      <c r="F14" s="46" t="inlineStr">
        <is>
          <t>Tồn kho nguyên liệu trước và sau khi thanh toán lỗi/thử lại/replay là không đổi; test payment pass 100%; docs payment khớp thiết kế mới.</t>
        </is>
      </c>
      <c r="G14" s="45" t="inlineStr">
        <is>
          <t>Chưa làm</t>
        </is>
      </c>
      <c r="H14" s="45" t="n"/>
      <c r="I14" s="44" t="n"/>
    </row>
    <row r="15">
      <c r="A15" s="44" t="inlineStr">
        <is>
          <t>GĐ2-CR</t>
        </is>
      </c>
      <c r="B15" s="45" t="inlineStr">
        <is>
          <t>CR-HAO</t>
        </is>
      </c>
      <c r="C15" s="45" t="inlineStr">
        <is>
          <t>Hào</t>
        </is>
      </c>
      <c r="D15" s="46" t="inlineStr">
        <is>
          <t>Kiểm thử Concurrency trừ kho nguyên liệu (Task 10c):
1. Viết lại backend/test/concurrency.ts và e2e spec: Chuyển assert từ Product.stock sang tồn kho NGUYÊN LIỆU.
2. TỰ TẠO FIXTURE: Test tự chèn nguyên liệu &amp; recipe riêng để kiểm thử độc lập, không phụ thuộc vào seed của Lan.
3. Bắn N request đồng thời đặt món dùng chung nguyên liệu chỉ đủ k phần -&gt; Đúng k đơn thành công, N-k đơn lỗi 400; tồn kho cuối &gt;= 0 và bằng ban đầu - k x lượng.
4. KHÔNG SỬA package.json (lệnh test:concurrency đã có sẵn).</t>
        </is>
      </c>
      <c r="E15" s="46" t="inlineStr">
        <is>
          <t>backend/test/concurrency.ts
backend/test/orders-concurrency.e2e-spec.ts
docs/test-scenarios/test-scenarios.md</t>
        </is>
      </c>
      <c r="F15" s="46" t="inlineStr">
        <is>
          <t>Đúng k đơn pass, N-k đơn 400; không âm kho, không deadlock, không 500; chạy được độc lập.</t>
        </is>
      </c>
      <c r="G15" s="45" t="inlineStr">
        <is>
          <t>Chưa làm</t>
        </is>
      </c>
      <c r="H15" s="45" t="n"/>
      <c r="I15" s="44" t="n"/>
    </row>
    <row r="16">
      <c r="A16" s="48" t="inlineStr">
        <is>
          <t>GĐ2-CR</t>
        </is>
      </c>
      <c r="B16" s="49" t="inlineStr">
        <is>
          <t>CR-QHUY</t>
        </is>
      </c>
      <c r="C16" s="49" t="inlineStr">
        <is>
          <t>Quang Huy</t>
        </is>
      </c>
      <c r="D16" s="50" t="inlineStr">
        <is>
          <t>Trang Admin xử lý đơn hàng của khách (BE + FE tối giản):
1. BE module admin-orders, guard @Roles(ADMIN):
   • GET /admin/orders: chỉ đơn PAID/PREPARING/READY, cũ nhất trước. Trả id, orderNumber, status, paidAt, customerName (fullName, fallback "Khách"), items[{productName, size, quantity, toppings[tên]}]. KHÔNG trả giá, email.
   • PATCH /admin/orders/:id/advance: server tự tính trạng thái kế tiếp (PAID→PREPARING→READY→COMPLETED), gọi OrderService.transition() trong $transaction, changedBy 'admin'. Client không gửi status. Sai trạng thái/xung đột version → 409; không có đơn → 404.
2. FE trang /admin (thay trang placeholder): 3 tab "Chờ pha / Đang pha / Chờ giao" kèm số lượng; card gồm #orderNumber, tên khách, "x phút trước", danh sách món (size, SL, topping); 1 nút theo trạng thái: "Bắt đầu pha" → "Pha xong" → "Đã giao khách". Tự refresh 10 giây + nút làm mới; có loading/empty/error; khóa nút khi đang gọi; gặp 409 thì tải lại danh sách. Dùng tốt ở 375px.
3. FE /orders/[id] của khách tự refresh 10 giây khi đơn đang PAID/PREPARING/READY.
4. Viết docs/admin-orders/api-contract.md và backend/requests/admin-orders.http.</t>
        </is>
      </c>
      <c r="E16" s="50" t="inlineStr">
        <is>
          <t>backend/src/modules/admin-orders/**
backend/requests/admin-orders.http
docs/admin-orders/**
frontend/src/app/admin/**
frontend/src/services/admin-order.service.ts
frontend/src/app/orders/[id]/**</t>
        </is>
      </c>
      <c r="F16" s="50" t="inlineStr">
        <is>
          <t>Đăng nhập ADMIN vào /admin thấy danh sách đơn PAID; CUSTOMER gọi API nhận 403. Bấm lần lượt 3 nút thì đơn thành COMPLETED và biến mất khỏi danh sách. Bấm đúp / 2 người cùng bấm không nhảy cóc (409). Khách ở /orders/[id] thấy trạng thái đổi trong ≤10 giây. File .http chạy được; build FE/BE sạch.</t>
        </is>
      </c>
      <c r="G16" s="49" t="inlineStr">
        <is>
          <t>Chưa làm</t>
        </is>
      </c>
      <c r="H16" s="49" t="n"/>
      <c r="I16" s="48" t="n"/>
    </row>
    <row r="17">
      <c r="A17" s="51" t="inlineStr">
        <is>
          <t>GIAI ĐOẠN 3 — TÍCH HỢP, VERIFY TOÀN DIỆN &amp; BÀN GIAO (LEADER CHIẾN — HẠN: 01/11)</t>
        </is>
      </c>
      <c r="B17" s="51" t="n"/>
      <c r="C17" s="51" t="n"/>
      <c r="D17" s="52" t="n"/>
      <c r="E17" s="52" t="n"/>
      <c r="F17" s="52" t="n"/>
      <c r="G17" s="51" t="n"/>
      <c r="H17" s="51" t="n"/>
      <c r="I17" s="51" t="n"/>
    </row>
    <row r="18">
      <c r="A18" s="44" t="inlineStr">
        <is>
          <t>GĐ3-CR</t>
        </is>
      </c>
      <c r="B18" s="45" t="inlineStr">
        <is>
          <t>CR-VERIFY</t>
        </is>
      </c>
      <c r="C18" s="45" t="inlineStr">
        <is>
          <t>Chiến</t>
        </is>
      </c>
      <c r="D18" s="46" t="inlineStr">
        <is>
          <t>Tích hợp, Verify toàn hệ thống &amp; Nghiệm thu:
1. Duyệt PR (Squash and Merge) theo thứ tự: Lan -&gt; Hạnh -&gt; Vũ Huy -&gt; Kiệt -&gt; Quang Huy -&gt; Hào.
2. Chạy toàn bộ test suites (npm test, build frontend/backend, test:concurrency).
3. Test luồng thật bằng curl: Tạo đơn -&gt; Trừ kho -&gt; Thanh toán lỗi -&gt; Hủy đơn -&gt; Hoàn kho.
4. Cập nhật README và hoàn thiện hồ sơ nghiệm thu.</t>
        </is>
      </c>
      <c r="E18" s="46" t="inlineStr">
        <is>
          <t>Toàn bộ codebase
develop -&gt; main
README.md</t>
        </is>
      </c>
      <c r="F18" s="46" t="inlineStr">
        <is>
          <t>Build + toàn bộ test xanh trên máy sạch; luồng thật chạy đúng chuẩn D10–D16; hệ thống sẵn sàng merge main.</t>
        </is>
      </c>
      <c r="G18" s="45" t="inlineStr">
        <is>
          <t>Chưa làm</t>
        </is>
      </c>
      <c r="H18" s="45" t="n"/>
      <c r="I18" s="44" t="n"/>
    </row>
    <row r="19">
      <c r="A19" s="41" t="n"/>
      <c r="B19" s="41" t="n"/>
      <c r="C19" s="41" t="n"/>
      <c r="D19" s="41" t="n"/>
      <c r="E19" s="41" t="n"/>
      <c r="F19" s="41" t="n"/>
      <c r="G19" s="41" t="n"/>
      <c r="H19" s="41" t="n"/>
      <c r="I19" s="41" t="n"/>
    </row>
    <row r="20">
      <c r="A20" s="41" t="n"/>
      <c r="B20" s="41" t="n"/>
      <c r="C20" s="41" t="n"/>
      <c r="D20" s="41" t="n"/>
      <c r="E20" s="41" t="n"/>
      <c r="F20" s="41" t="n"/>
      <c r="G20" s="41" t="n"/>
      <c r="H20" s="41" t="n"/>
      <c r="I20" s="41" t="n"/>
    </row>
    <row r="21">
      <c r="A21" s="41" t="n"/>
      <c r="B21" s="41" t="n"/>
      <c r="C21" s="41" t="n"/>
      <c r="D21" s="41" t="n"/>
      <c r="E21" s="41" t="n"/>
      <c r="F21" s="41" t="n"/>
      <c r="G21" s="41" t="n"/>
      <c r="H21" s="41" t="n"/>
      <c r="I21" s="41" t="n"/>
    </row>
    <row r="22">
      <c r="A22" s="41" t="n"/>
      <c r="B22" s="41" t="n"/>
      <c r="C22" s="41" t="n"/>
      <c r="D22" s="41" t="n"/>
      <c r="E22" s="41" t="n"/>
      <c r="F22" s="41" t="n"/>
      <c r="G22" s="41" t="n"/>
      <c r="H22" s="41" t="n"/>
      <c r="I22" s="41" t="n"/>
    </row>
    <row r="23">
      <c r="A23" s="41" t="n"/>
      <c r="B23" s="41" t="n"/>
      <c r="C23" s="41" t="n"/>
      <c r="D23" s="41" t="n"/>
      <c r="E23" s="41" t="n"/>
      <c r="F23" s="41" t="n"/>
      <c r="G23" s="41" t="n"/>
      <c r="H23" s="41" t="n"/>
      <c r="I23" s="41" t="n"/>
    </row>
    <row r="24">
      <c r="A24" s="41" t="n"/>
      <c r="B24" s="41" t="n"/>
      <c r="C24" s="41" t="n"/>
      <c r="D24" s="41" t="n"/>
      <c r="E24" s="41" t="n"/>
      <c r="F24" s="41" t="n"/>
      <c r="G24" s="41" t="n"/>
      <c r="H24" s="41" t="n"/>
      <c r="I24" s="41" t="n"/>
    </row>
    <row r="25">
      <c r="A25" s="41" t="n"/>
      <c r="B25" s="41" t="n"/>
      <c r="C25" s="41" t="n"/>
      <c r="D25" s="41" t="n"/>
      <c r="E25" s="41" t="n"/>
      <c r="F25" s="41" t="n"/>
      <c r="G25" s="41" t="n"/>
      <c r="H25" s="41" t="n"/>
      <c r="I25" s="41" t="n"/>
    </row>
    <row r="26">
      <c r="A26" s="41" t="n"/>
      <c r="B26" s="41" t="n"/>
      <c r="C26" s="41" t="n"/>
      <c r="D26" s="41" t="n"/>
      <c r="E26" s="41" t="n"/>
      <c r="F26" s="41" t="n"/>
      <c r="G26" s="41" t="n"/>
      <c r="H26" s="41" t="n"/>
      <c r="I26" s="41" t="n"/>
    </row>
    <row r="27">
      <c r="A27" s="41" t="n"/>
      <c r="B27" s="41" t="n"/>
      <c r="C27" s="41" t="n"/>
      <c r="D27" s="41" t="n"/>
      <c r="E27" s="41" t="n"/>
      <c r="F27" s="41" t="n"/>
      <c r="G27" s="41" t="n"/>
      <c r="H27" s="41" t="n"/>
      <c r="I27" s="41" t="n"/>
    </row>
    <row r="28">
      <c r="A28" s="41" t="n"/>
      <c r="B28" s="41" t="n"/>
      <c r="C28" s="41" t="n"/>
      <c r="D28" s="41" t="n"/>
      <c r="E28" s="41" t="n"/>
      <c r="F28" s="41" t="n"/>
      <c r="G28" s="41" t="n"/>
      <c r="H28" s="41" t="n"/>
      <c r="I28" s="41" t="n"/>
    </row>
    <row r="29">
      <c r="A29" s="41" t="n"/>
      <c r="B29" s="41" t="n"/>
      <c r="C29" s="41" t="n"/>
      <c r="D29" s="41" t="n"/>
      <c r="E29" s="41" t="n"/>
      <c r="F29" s="41" t="n"/>
      <c r="G29" s="41" t="n"/>
      <c r="H29" s="41" t="n"/>
      <c r="I29" s="41" t="n"/>
    </row>
    <row r="30">
      <c r="A30" s="41" t="n"/>
      <c r="B30" s="41" t="n"/>
      <c r="C30" s="41" t="n"/>
      <c r="D30" s="41" t="n"/>
      <c r="E30" s="41" t="n"/>
      <c r="F30" s="41" t="n"/>
      <c r="G30" s="41" t="n"/>
      <c r="H30" s="41" t="n"/>
      <c r="I30" s="41" t="n"/>
    </row>
    <row r="31">
      <c r="A31" s="41" t="n"/>
      <c r="B31" s="41" t="n"/>
      <c r="C31" s="41" t="n"/>
      <c r="D31" s="41" t="n"/>
      <c r="E31" s="41" t="n"/>
      <c r="F31" s="41" t="n"/>
      <c r="G31" s="41" t="n"/>
      <c r="H31" s="41" t="n"/>
      <c r="I31" s="41" t="n"/>
    </row>
    <row r="32">
      <c r="A32" s="41" t="n"/>
      <c r="B32" s="41" t="n"/>
      <c r="C32" s="41" t="n"/>
      <c r="D32" s="41" t="n"/>
      <c r="E32" s="41" t="n"/>
      <c r="F32" s="41" t="n"/>
      <c r="G32" s="41" t="n"/>
      <c r="H32" s="41" t="n"/>
      <c r="I32" s="41" t="n"/>
    </row>
    <row r="33">
      <c r="A33" s="41" t="n"/>
      <c r="B33" s="41" t="n"/>
      <c r="C33" s="41" t="n"/>
      <c r="D33" s="41" t="n"/>
      <c r="E33" s="41" t="n"/>
      <c r="F33" s="41" t="n"/>
      <c r="G33" s="41" t="n"/>
      <c r="H33" s="41" t="n"/>
      <c r="I33" s="41" t="n"/>
    </row>
    <row r="34">
      <c r="A34" s="41" t="n"/>
      <c r="B34" s="41" t="n"/>
      <c r="C34" s="41" t="n"/>
      <c r="D34" s="41" t="n"/>
      <c r="E34" s="41" t="n"/>
      <c r="F34" s="41" t="n"/>
      <c r="G34" s="41" t="n"/>
      <c r="H34" s="41" t="n"/>
      <c r="I34" s="41" t="n"/>
    </row>
    <row r="35">
      <c r="A35" s="41" t="n"/>
      <c r="B35" s="41" t="n"/>
      <c r="C35" s="41" t="n"/>
      <c r="D35" s="41" t="n"/>
      <c r="E35" s="41" t="n"/>
      <c r="F35" s="41" t="n"/>
      <c r="G35" s="41" t="n"/>
      <c r="H35" s="41" t="n"/>
      <c r="I35" s="41" t="n"/>
    </row>
  </sheetData>
  <mergeCells count="2">
    <mergeCell ref="A10:I10"/>
    <mergeCell ref="A7:I7"/>
  </mergeCells>
  <conditionalFormatting sqref="G8:G30">
    <cfRule type="cellIs" priority="3" operator="equal" dxfId="4">
      <formula>"Xong"</formula>
    </cfRule>
    <cfRule type="cellIs" priority="4" operator="equal" dxfId="5">
      <formula>"Đang làm"</formula>
    </cfRule>
  </conditionalFormatting>
  <dataValidations count="1">
    <dataValidation sqref="G8:G9 G11:G30" showDropDown="0" showInputMessage="0" showErrorMessage="0" allowBlank="1" type="list">
      <formula1>"Chưa làm,Đang làm,Xong"</formula1>
    </dataValidation>
  </dataValidations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2026-10-18T10:44:53Z</dcterms:created>
  <dcterms:modified xsi:type="dcterms:W3CDTF">2026-10-29T13:31:41Z</dcterms:modified>
  <cp:lastModifiedBy>Phạm Minh Chiến</cp:lastModifiedBy>
  <cp:revision>0</cp:revision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ContentTypeId" fmtid="{D5CDD505-2E9C-101B-9397-08002B2CF9AE}" pid="2">
    <vt:lpwstr>0x01010036CD56B4CFAFD04CA364FA433B51A9CD</vt:lpwstr>
  </property>
</Properties>
</file>